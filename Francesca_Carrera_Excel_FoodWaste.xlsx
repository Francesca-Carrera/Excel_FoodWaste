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sentazione" sheetId="1" r:id="rId5"/>
    <sheet state="visible" name="Test" sheetId="2" r:id="rId6"/>
    <sheet state="visible" name="RawData" sheetId="3" r:id="rId7"/>
    <sheet state="visible" name="Operative" sheetId="4" r:id="rId8"/>
    <sheet state="visible" name="Pivot" sheetId="5" r:id="rId9"/>
  </sheets>
  <definedNames>
    <definedName name="_xlcn.WorksheetConnection_Operative_Francesca_CarreraA1L3011">Operative!$A$1:$M$301</definedName>
    <definedName name="Ordini">#REF!</definedName>
    <definedName name="Provincia">#REF!</definedName>
    <definedName name="ID___Attività">#REF!</definedName>
    <definedName name="_xlcn.WorksheetConnection_Operative_Francesca_CarreraA1K3011">Operative!$A$1:$L$301</definedName>
    <definedName name="Sì">#REF!</definedName>
    <definedName name="Città">#REF!</definedName>
    <definedName name="Valutazione">#REF!</definedName>
    <definedName name="Iscrizione_Premium_Attiva">#REF!</definedName>
    <definedName name="Iscritti_per___di_1_anno">#REF!</definedName>
    <definedName name="Kg_di_Cibo_Salvati">#REF!</definedName>
    <definedName name="Data_di_Nascita_proprietario">#REF!</definedName>
    <definedName name="Regione">#REF!</definedName>
  </definedNames>
  <calcPr/>
</workbook>
</file>

<file path=xl/sharedStrings.xml><?xml version="1.0" encoding="utf-8"?>
<sst xmlns="http://schemas.openxmlformats.org/spreadsheetml/2006/main" count="4235" uniqueCount="419">
  <si>
    <r>
      <rPr>
        <rFont val="Calibri"/>
        <b/>
        <color theme="1"/>
        <sz val="13.0"/>
      </rPr>
      <t>Progetto:</t>
    </r>
    <r>
      <rPr>
        <rFont val="Calibri"/>
        <color theme="1"/>
        <sz val="13.0"/>
      </rPr>
      <t xml:space="preserve"> Analisi dati attività commerciali – Riduzione spreco alimentare.
</t>
    </r>
    <r>
      <rPr>
        <rFont val="Calibri"/>
        <b/>
        <color theme="1"/>
        <sz val="13.0"/>
      </rPr>
      <t>Obiettivo del progetto.</t>
    </r>
    <r>
      <rPr>
        <rFont val="Calibri"/>
        <color theme="1"/>
        <sz val="13.0"/>
      </rPr>
      <t xml:space="preserve">
L'azienda mette in contatto consumatori e attività commerciali per ridurre lo spreco di cibo quotidiano. A partire da un dataset contenente i dati delle attività aderenti, il team di marketing ha richiesto un'analisi per estrarre informazioni utili.
</t>
    </r>
    <r>
      <rPr>
        <rFont val="Calibri"/>
        <b/>
        <color theme="1"/>
        <sz val="13.0"/>
      </rPr>
      <t>Sviluppo del progetto.</t>
    </r>
    <r>
      <rPr>
        <rFont val="Calibri"/>
        <color theme="1"/>
        <sz val="13.0"/>
      </rPr>
      <t xml:space="preserve">
Ho risposto a 15 domande specifiche utilizzando:
- </t>
    </r>
    <r>
      <rPr>
        <rFont val="Calibri"/>
        <color theme="1"/>
        <sz val="13.0"/>
        <u/>
      </rPr>
      <t>Formule Excel</t>
    </r>
    <r>
      <rPr>
        <rFont val="Calibri"/>
        <color theme="1"/>
        <sz val="13.0"/>
      </rPr>
      <t xml:space="preserve"> (CONTA.NUMERI, CONTA.SE, CONTA.PIÙ.SE, MEDIA.SE, MAX.PIÙ.SE, CERCA.X, UNICI).
- </t>
    </r>
    <r>
      <rPr>
        <rFont val="Calibri"/>
        <color theme="1"/>
        <sz val="13.0"/>
        <u/>
      </rPr>
      <t>Tabelle pivot</t>
    </r>
    <r>
      <rPr>
        <rFont val="Calibri"/>
        <color theme="1"/>
        <sz val="13.0"/>
      </rPr>
      <t xml:space="preserve"> con conteggi, somme, medie e filtri temporali (es. età proprietari alla data del test).
- </t>
    </r>
    <r>
      <rPr>
        <rFont val="Calibri"/>
        <color theme="1"/>
        <sz val="13.0"/>
        <u/>
      </rPr>
      <t>Tecniche di analisi</t>
    </r>
    <r>
      <rPr>
        <rFont val="Calibri"/>
        <color theme="1"/>
        <sz val="13.0"/>
      </rPr>
      <t xml:space="preserve">: ricerca errori ortografici (es. "Molano"), aggregazioni, confronti tra gruppi (es. media kg salvati con/senza promozioni social).
</t>
    </r>
    <r>
      <rPr>
        <rFont val="Calibri"/>
        <b/>
        <color theme="1"/>
        <sz val="13.0"/>
      </rPr>
      <t>Struttura del file:</t>
    </r>
    <r>
      <rPr>
        <rFont val="Calibri"/>
        <color theme="1"/>
        <sz val="13.0"/>
      </rPr>
      <t xml:space="preserve">
</t>
    </r>
    <r>
      <rPr>
        <rFont val="Calibri"/>
        <color theme="1"/>
        <sz val="13.0"/>
        <u/>
      </rPr>
      <t>Test</t>
    </r>
    <r>
      <rPr>
        <rFont val="Calibri"/>
        <color theme="1"/>
        <sz val="13.0"/>
      </rPr>
      <t xml:space="preserve"> – elenco completo delle 15 domande, risposte e processi sintetici.
</t>
    </r>
    <r>
      <rPr>
        <rFont val="Calibri"/>
        <color theme="1"/>
        <sz val="13.0"/>
        <u/>
      </rPr>
      <t>RawData</t>
    </r>
    <r>
      <rPr>
        <rFont val="Calibri"/>
        <color theme="1"/>
        <sz val="13.0"/>
      </rPr>
      <t xml:space="preserve"> – dataset originale.
</t>
    </r>
    <r>
      <rPr>
        <rFont val="Calibri"/>
        <color theme="1"/>
        <sz val="13.0"/>
        <u/>
      </rPr>
      <t>Operative</t>
    </r>
    <r>
      <rPr>
        <rFont val="Calibri"/>
        <color theme="1"/>
        <sz val="13.0"/>
      </rPr>
      <t xml:space="preserve"> – dati arricchiti con colonna NUM per riordinamento, e formule chiave visibili.
</t>
    </r>
    <r>
      <rPr>
        <rFont val="Calibri"/>
        <color theme="1"/>
        <sz val="13.0"/>
        <u/>
      </rPr>
      <t>Pivot</t>
    </r>
    <r>
      <rPr>
        <rFont val="Calibri"/>
        <color theme="1"/>
        <sz val="13.0"/>
      </rPr>
      <t xml:space="preserve"> – tabelle pivot utilizzate per le risposte.
📌 </t>
    </r>
    <r>
      <rPr>
        <rFont val="Calibri"/>
        <b/>
        <color theme="1"/>
        <sz val="13.0"/>
      </rPr>
      <t>Feedback del tutor (Start2Impact)</t>
    </r>
    <r>
      <rPr>
        <rFont val="Calibri"/>
        <color theme="1"/>
        <sz val="13.0"/>
      </rPr>
      <t xml:space="preserve">
"Ottimo lavoro! Hai risposto correttamente a tutte le domande, giustificandole in maniera opportuna. Le tabelle pivot sono costruite in modo efficace. Ho apprezzato l’ordine e la pulizia con cui hai svolto il progetto."
— Cristina D'Onorio De Meo, Coach Data Science</t>
    </r>
  </si>
  <si>
    <t>Domanda</t>
  </si>
  <si>
    <t>1. Quanti ID - Attività ci sono (colonna A)?</t>
  </si>
  <si>
    <t>Risposta</t>
  </si>
  <si>
    <t>300</t>
  </si>
  <si>
    <t>Processo in breve (max 20 parole)</t>
  </si>
  <si>
    <t>CONTA.NUMERI(A2:A301)</t>
  </si>
  <si>
    <t>Foglio di lavoro</t>
  </si>
  <si>
    <t>Operative_Francesca_Carrera (a destra della tabella).</t>
  </si>
  <si>
    <t>2. Quanti ID - Attività uniche ci sono (colonna A)?</t>
  </si>
  <si>
    <t>284</t>
  </si>
  <si>
    <t>CONTA.NUMERI(UNICI(A2:A301))</t>
  </si>
  <si>
    <t>Operative_Francesca_Carrera</t>
  </si>
  <si>
    <t>3. Quante attività commerciali sono in Lombardia? (Contiamo gli ID - Attività unici in Lombardia)</t>
  </si>
  <si>
    <t>55</t>
  </si>
  <si>
    <t>Tab. Pivot, Righe: Regione, Valori: ID-Attività Distinct Count.</t>
  </si>
  <si>
    <t>Pivot</t>
  </si>
  <si>
    <t>4. Quale regione ha il maggior numero di attività aderenti? (In questo caso consideriamo gli ID - Attività a prescindere che siano unici)</t>
  </si>
  <si>
    <t>Lombardia con 56 ID tot.</t>
  </si>
  <si>
    <t>Tab. Pivot, Righe: Regione, Valori: ID-Attività Conteggio.</t>
  </si>
  <si>
    <t>5. Nella colonna delle città una, citata più volte in modo corretto, è scritta in modo errato. Quale? In che riga si trova?</t>
  </si>
  <si>
    <t>Molano a riga 115 di Città.</t>
  </si>
  <si>
    <t xml:space="preserve">Non avendo ottenuto risultati con il controllo ortografico, ho creato una pivot con Righe: Città, Valori: Città-Conteggio, filtrando in modo da ottenere le città citate più di </t>
  </si>
  <si>
    <t>una volta e disponendo l'ordine in maniera decrescente di conteggio, la prima città risultava essere Milano. Altra pivot con Righe: Città, Valori: Città-Conteggio, ho filtrato</t>
  </si>
  <si>
    <t>le città visualizzando quelle con lettera iniziale M, individuando a occhio l'errore. Infine, tramite il pulsante "Trova", ho cercato "Molano" per individuarne la collocazione.</t>
  </si>
  <si>
    <t>Pivot e Operative_Francesca_Carrera</t>
  </si>
  <si>
    <t>6. Quante attività hanno salvato più di 500kg di cibo? (ID - Attività considerando in modo aggregato i risultati se presente in più record)</t>
  </si>
  <si>
    <t>147 attività.</t>
  </si>
  <si>
    <t>Tab. Pivot, Righe: ID-Attività, Valori: "ID-Attività Distinct Count" (di cui ho letto il tot, una volta filtrato) e "Kg di Cibo Salvati - Somma", filtrato per "maggiore di 500".</t>
  </si>
  <si>
    <t>7. Quale attività è riuscita ad evitare di gettare più kg di cibo? (ID - Attività considerando in modo aggregato i risultati se presente in più record)</t>
  </si>
  <si>
    <t>ID-Attività 3028 con 1.584 kg di cibo salvati.</t>
  </si>
  <si>
    <t>Nella Pivot creata precedentemente per la domanda n° 6, ho individuato la risposta filtrando in ordine decrescente "Kg di cibo salvati - Somma" in Valori.</t>
  </si>
  <si>
    <t>8. Quante attività hanno l'iscrizione alla piattaforma premium attiva? (colonna I)</t>
  </si>
  <si>
    <t>146</t>
  </si>
  <si>
    <t>CONTA.SE(I2:I301;"Sì") non considerando ID-Attività unici.</t>
  </si>
  <si>
    <t>9. Quante attività hanno un proprietario con meno di 30 anni? Qual è la percentuale sul totale? (Calcolare la data al giorno in cui si effettua il test, non solo anno in corso)</t>
  </si>
  <si>
    <t>25 proprietari su 300 hanno meno di 30 anni alla data 01/05/2023, la percentuale è del 8,33% sul totale.</t>
  </si>
  <si>
    <t>Pivot, Righe: Data di nascita proprietario, Valori: ID-Attività Conteggio. Filtri per date - Tra 02/05/1993 e 01/05/2023.</t>
  </si>
  <si>
    <t xml:space="preserve"> Altra Pivot con gli stessi elementi, ma non filtrata per calcolare poi la percentuale sul totale (25/300).</t>
  </si>
  <si>
    <t>.</t>
  </si>
  <si>
    <t>10. Quante ID - Attività  hanno una valutazione superiore a 6? Quanti di questi sono iscritti al programma premium?</t>
  </si>
  <si>
    <t>125 ID-Attività hanno una valutazione superiore a 6 e 63 di questi sono, inoltre, iscritti al programma premium.</t>
  </si>
  <si>
    <t>CONTA.SE(H2:H301;"&gt;6") e CONTA.PIÙ.SE(H2:H301;"&gt;6";I2:I301;"=Sì") .</t>
  </si>
  <si>
    <t>11. Quanti ID - Attività hanno effettuato promozioni sui social? Tra i top 10 (per kg di prodotto salvati) quanti lo hanno fatto</t>
  </si>
  <si>
    <t>143 ID-Attività hanno effettuato promozioni sui social, 4 di questi sono nella top 10.</t>
  </si>
  <si>
    <t>CONTA.SE(K2:K301;"=Sì"), poi ho filtrato in ordine decrescente la colonna "Kg di Cibo Salvati", ho applicato la formattazione condizionale con il criterio "primi 10" e ho</t>
  </si>
  <si>
    <t>contato a occhio quanti di essi hanno aderito. I "primi 10" sono 11, dato l'ultima posizione è occupata da due attività che hanno salvato 973 kg di cibo a pari merito.</t>
  </si>
  <si>
    <t>12. Qual è ID - Attività con iscrizione al programma premium (colonna I) e iscritti da oltre 1 anno (colonna J), col numero maggiori di kg salvati? (ID attività)</t>
  </si>
  <si>
    <t>ID 3068 con 997 kg di cibo salvati.</t>
  </si>
  <si>
    <t>CERCA.X(MAX.PIÙ.SE(F2:F301;I2:I301;"Sì";J2:J301;"Sì");F2:F301;A2:A301;;0)</t>
  </si>
  <si>
    <t>13. Quale regione ha salvato il maggior numero di kg di cibo? E quale meno?</t>
  </si>
  <si>
    <t>La regione che ha salvato il maggior numero di cibo è la Lombardia con 34.561 kg, mentre il Molise ne ha salvati 232 kg.</t>
  </si>
  <si>
    <t>Pivot, Righe: Regione; Valori: Kg di cibo salvati - Somma, ordinando questa parte in ordine decrescente ho visto a occhio i valori estremi.</t>
  </si>
  <si>
    <t>14. Indica la media di kg salvati per le attività che hanno svolto attività social e per quelle che non l'hanno fatto (da considerare in modo distinto le ID-Attività presenti più volte)</t>
  </si>
  <si>
    <t>Una media di 514,09 kg di cibo per chi ha svolto attività social e 500,87 per chi non l'ha fatto.</t>
  </si>
  <si>
    <t>MEDIA.SE(K2:K301;"Sì";F2:F301) poi ho fatto la stessa cosa con criterio "No".</t>
  </si>
  <si>
    <t>15. Indica la media di ordini giornalieri effettuati per ciascuna regione.</t>
  </si>
  <si>
    <t xml:space="preserve">Abruzzo 6,67 - Calabria 8,86 - Campania 7,62 - Emilia Romagna 7,50 - Friuli Venezia Giulia 6,00 - Lazio 7,94 - Liguria 8,60 - Lombardia 7,80 - Marche 8,00 - Molise 13,00 - </t>
  </si>
  <si>
    <t>Piemonte 7,17 - Puglia 7,65 - Sardegna 10,20 - Sicilia 8,72 - Trentino Alto Adige 5,25 - Toscana 9,26 - Umbria 9,60 - Valle d'Aosta 12,00 - Veneto 9,22.</t>
  </si>
  <si>
    <t>Pivot, Righe: Regione, Valori: Media di ordini.</t>
  </si>
  <si>
    <t>Pivot, Righe: Regione, Valori: Media di ordini (Media: Somma / Conteggio)</t>
  </si>
  <si>
    <t>ID - Attività</t>
  </si>
  <si>
    <t>Città</t>
  </si>
  <si>
    <t>Provincia</t>
  </si>
  <si>
    <t>Regione</t>
  </si>
  <si>
    <t>Ordini</t>
  </si>
  <si>
    <t>Kg di Cibo Salvati</t>
  </si>
  <si>
    <t>Data di Nascita proprietario</t>
  </si>
  <si>
    <t>Valutazione</t>
  </si>
  <si>
    <t>Iscrizione Premium Attiva</t>
  </si>
  <si>
    <t>Iscritti per + di 1 anno</t>
  </si>
  <si>
    <t>Post Instagram con promozione servizio</t>
  </si>
  <si>
    <t>Roma</t>
  </si>
  <si>
    <t>RM</t>
  </si>
  <si>
    <t>LAZ</t>
  </si>
  <si>
    <t>No</t>
  </si>
  <si>
    <t>Sì</t>
  </si>
  <si>
    <t>Milano</t>
  </si>
  <si>
    <t>MI</t>
  </si>
  <si>
    <t>LOM</t>
  </si>
  <si>
    <t>Napoli</t>
  </si>
  <si>
    <t>NA</t>
  </si>
  <si>
    <t>CAM</t>
  </si>
  <si>
    <t>Torino</t>
  </si>
  <si>
    <t>TO</t>
  </si>
  <si>
    <t>PIE</t>
  </si>
  <si>
    <t>Palermo</t>
  </si>
  <si>
    <t>PA</t>
  </si>
  <si>
    <t>SIC</t>
  </si>
  <si>
    <t>Genova</t>
  </si>
  <si>
    <t>GE</t>
  </si>
  <si>
    <t>LIG</t>
  </si>
  <si>
    <t>Bologna</t>
  </si>
  <si>
    <t>BO</t>
  </si>
  <si>
    <t>EMR</t>
  </si>
  <si>
    <t>Firenze</t>
  </si>
  <si>
    <t>FI</t>
  </si>
  <si>
    <t>TOS</t>
  </si>
  <si>
    <t>Bari</t>
  </si>
  <si>
    <t>BA</t>
  </si>
  <si>
    <t>PUG</t>
  </si>
  <si>
    <t>Catania</t>
  </si>
  <si>
    <t>CT</t>
  </si>
  <si>
    <t>Venezia</t>
  </si>
  <si>
    <t>VE</t>
  </si>
  <si>
    <t>VEN</t>
  </si>
  <si>
    <t>Verona</t>
  </si>
  <si>
    <t>VR</t>
  </si>
  <si>
    <t>Messina</t>
  </si>
  <si>
    <t>ME</t>
  </si>
  <si>
    <t>Padova</t>
  </si>
  <si>
    <t>PD</t>
  </si>
  <si>
    <t>Trieste</t>
  </si>
  <si>
    <t>TS</t>
  </si>
  <si>
    <t>FVG</t>
  </si>
  <si>
    <t>Brescia</t>
  </si>
  <si>
    <t>BS</t>
  </si>
  <si>
    <t>Taranto</t>
  </si>
  <si>
    <t>TA</t>
  </si>
  <si>
    <t>Prato</t>
  </si>
  <si>
    <t>PO</t>
  </si>
  <si>
    <t>Parma</t>
  </si>
  <si>
    <t>PR</t>
  </si>
  <si>
    <t>Reggio Calabria</t>
  </si>
  <si>
    <t>RC</t>
  </si>
  <si>
    <t>CAL</t>
  </si>
  <si>
    <t>Modena</t>
  </si>
  <si>
    <t>MO</t>
  </si>
  <si>
    <t>Reggio Emilia</t>
  </si>
  <si>
    <t>RE</t>
  </si>
  <si>
    <t>Perugia</t>
  </si>
  <si>
    <t>PG</t>
  </si>
  <si>
    <t>UMB</t>
  </si>
  <si>
    <t>Livorno</t>
  </si>
  <si>
    <t>LI</t>
  </si>
  <si>
    <t>Ravenna</t>
  </si>
  <si>
    <t>RA</t>
  </si>
  <si>
    <t>Cagliari</t>
  </si>
  <si>
    <t>CA</t>
  </si>
  <si>
    <t>SAR</t>
  </si>
  <si>
    <t>Foggia</t>
  </si>
  <si>
    <t>FG</t>
  </si>
  <si>
    <t>Rimini</t>
  </si>
  <si>
    <t>RN</t>
  </si>
  <si>
    <t>Salerno</t>
  </si>
  <si>
    <t>SA</t>
  </si>
  <si>
    <t>Ferrara</t>
  </si>
  <si>
    <t>FE</t>
  </si>
  <si>
    <t>Sassari</t>
  </si>
  <si>
    <t>SS</t>
  </si>
  <si>
    <t>Siracusa</t>
  </si>
  <si>
    <t>SR</t>
  </si>
  <si>
    <t>Pescara</t>
  </si>
  <si>
    <t>PE</t>
  </si>
  <si>
    <t>ABR</t>
  </si>
  <si>
    <t>Monza</t>
  </si>
  <si>
    <t>MB</t>
  </si>
  <si>
    <t>Latina</t>
  </si>
  <si>
    <t>LT</t>
  </si>
  <si>
    <t>Bergamo</t>
  </si>
  <si>
    <t>BG</t>
  </si>
  <si>
    <t>Forlì</t>
  </si>
  <si>
    <t>FC</t>
  </si>
  <si>
    <t>Giugliano in Campania</t>
  </si>
  <si>
    <t>Trento</t>
  </si>
  <si>
    <t>TN</t>
  </si>
  <si>
    <t>TAA</t>
  </si>
  <si>
    <t>Vicenza</t>
  </si>
  <si>
    <t>VI</t>
  </si>
  <si>
    <t>Terni</t>
  </si>
  <si>
    <t>TR</t>
  </si>
  <si>
    <t>Novara</t>
  </si>
  <si>
    <t>NO</t>
  </si>
  <si>
    <t>Bolzano</t>
  </si>
  <si>
    <t>BZ</t>
  </si>
  <si>
    <t>Piacenza</t>
  </si>
  <si>
    <t>PC</t>
  </si>
  <si>
    <t>Ancona</t>
  </si>
  <si>
    <t>AN</t>
  </si>
  <si>
    <t>MAR</t>
  </si>
  <si>
    <t>Arezzo</t>
  </si>
  <si>
    <t>AR</t>
  </si>
  <si>
    <t>Andria</t>
  </si>
  <si>
    <t>BT</t>
  </si>
  <si>
    <t>Udine</t>
  </si>
  <si>
    <t>UD</t>
  </si>
  <si>
    <t>Cesena</t>
  </si>
  <si>
    <t>Lecce</t>
  </si>
  <si>
    <t>LE</t>
  </si>
  <si>
    <t>La Spezia</t>
  </si>
  <si>
    <t>SP</t>
  </si>
  <si>
    <t>Pesaro</t>
  </si>
  <si>
    <t>PU</t>
  </si>
  <si>
    <t>Alessandria</t>
  </si>
  <si>
    <t>AL</t>
  </si>
  <si>
    <t>Barletta</t>
  </si>
  <si>
    <t>Catanzaro</t>
  </si>
  <si>
    <t>CZ</t>
  </si>
  <si>
    <t>Pistoia</t>
  </si>
  <si>
    <t>PT</t>
  </si>
  <si>
    <t>Brindisi</t>
  </si>
  <si>
    <t>BR</t>
  </si>
  <si>
    <t>Pisa</t>
  </si>
  <si>
    <t>PI</t>
  </si>
  <si>
    <t>Torre del Greco</t>
  </si>
  <si>
    <t>Como</t>
  </si>
  <si>
    <t>CO</t>
  </si>
  <si>
    <t>Lucca</t>
  </si>
  <si>
    <t>LU</t>
  </si>
  <si>
    <t>Guidonia Montecelio</t>
  </si>
  <si>
    <t>Molano</t>
  </si>
  <si>
    <t>Siena</t>
  </si>
  <si>
    <t>SI</t>
  </si>
  <si>
    <t>Portici</t>
  </si>
  <si>
    <t>Trani</t>
  </si>
  <si>
    <t>Chieti</t>
  </si>
  <si>
    <t>CH</t>
  </si>
  <si>
    <t>Velletri</t>
  </si>
  <si>
    <t>Cava de' Tirreni</t>
  </si>
  <si>
    <t>Acireale</t>
  </si>
  <si>
    <t>Rovigo</t>
  </si>
  <si>
    <t>RO</t>
  </si>
  <si>
    <t>Civitavecchia</t>
  </si>
  <si>
    <t>Gallarate</t>
  </si>
  <si>
    <t>VA</t>
  </si>
  <si>
    <t>Pordenone</t>
  </si>
  <si>
    <t>PN</t>
  </si>
  <si>
    <t>Aversa</t>
  </si>
  <si>
    <t>CE</t>
  </si>
  <si>
    <t>Montesilvano</t>
  </si>
  <si>
    <t>Mazara del Vallo</t>
  </si>
  <si>
    <t>TP</t>
  </si>
  <si>
    <t>Ascoli Piceno</t>
  </si>
  <si>
    <t>AP</t>
  </si>
  <si>
    <t>Battipaglia</t>
  </si>
  <si>
    <t>Campobasso</t>
  </si>
  <si>
    <t>CB</t>
  </si>
  <si>
    <t>MOL</t>
  </si>
  <si>
    <t>Scafati</t>
  </si>
  <si>
    <t>Casalnuovo di Napoli</t>
  </si>
  <si>
    <t>Rho</t>
  </si>
  <si>
    <t>Chioggia</t>
  </si>
  <si>
    <t>Scandicci</t>
  </si>
  <si>
    <t>Collegno</t>
  </si>
  <si>
    <t>Martina Franca</t>
  </si>
  <si>
    <t>Monopoli</t>
  </si>
  <si>
    <t>Rivoli</t>
  </si>
  <si>
    <t>Paternò</t>
  </si>
  <si>
    <t>Misterbianco</t>
  </si>
  <si>
    <t>Nichelino</t>
  </si>
  <si>
    <t>Mantova</t>
  </si>
  <si>
    <t>MN</t>
  </si>
  <si>
    <t>San Benedetto del Tronto</t>
  </si>
  <si>
    <t>Frosinone</t>
  </si>
  <si>
    <t>FR</t>
  </si>
  <si>
    <t>Lecco</t>
  </si>
  <si>
    <t>LC</t>
  </si>
  <si>
    <t>Corato</t>
  </si>
  <si>
    <t>Empoli</t>
  </si>
  <si>
    <t>Cologno Monzese</t>
  </si>
  <si>
    <t>Settimo Torinese</t>
  </si>
  <si>
    <t>Rieti</t>
  </si>
  <si>
    <t>RI</t>
  </si>
  <si>
    <t>Paderno Dugnano</t>
  </si>
  <si>
    <t>Sesto Fiorentino</t>
  </si>
  <si>
    <t>Nettuno</t>
  </si>
  <si>
    <t>San Giorgio a Cremano</t>
  </si>
  <si>
    <t>Vercelli</t>
  </si>
  <si>
    <t>VC</t>
  </si>
  <si>
    <t>Capannori</t>
  </si>
  <si>
    <t>Alcamo</t>
  </si>
  <si>
    <t>Nocera Inferiore</t>
  </si>
  <si>
    <t>Biella</t>
  </si>
  <si>
    <t>BI</t>
  </si>
  <si>
    <t>Senigallia</t>
  </si>
  <si>
    <t>Terracina</t>
  </si>
  <si>
    <t>Lodi</t>
  </si>
  <si>
    <t>LO</t>
  </si>
  <si>
    <t>Gravina in Puglia</t>
  </si>
  <si>
    <t>Cascina</t>
  </si>
  <si>
    <t>Campi Bisenzio</t>
  </si>
  <si>
    <t>Torre Annunziata</t>
  </si>
  <si>
    <t>Bassano del Grappa</t>
  </si>
  <si>
    <t>Seregno</t>
  </si>
  <si>
    <t>Macerata</t>
  </si>
  <si>
    <t>MC</t>
  </si>
  <si>
    <t>Ardea</t>
  </si>
  <si>
    <t>Imperia</t>
  </si>
  <si>
    <t>IM</t>
  </si>
  <si>
    <t>Lissone</t>
  </si>
  <si>
    <t>Avezzano</t>
  </si>
  <si>
    <t>AQ</t>
  </si>
  <si>
    <t>Barcellona Pozzo di Gotto</t>
  </si>
  <si>
    <t>San Donà di Piave</t>
  </si>
  <si>
    <t>Rozzano</t>
  </si>
  <si>
    <t>Sassuolo</t>
  </si>
  <si>
    <t>Sciacca</t>
  </si>
  <si>
    <t>AG</t>
  </si>
  <si>
    <t>Ladispoli</t>
  </si>
  <si>
    <t>Alghero</t>
  </si>
  <si>
    <t>Civitanova Marche</t>
  </si>
  <si>
    <t>Desio</t>
  </si>
  <si>
    <t>Jesi</t>
  </si>
  <si>
    <t>Città di Castello</t>
  </si>
  <si>
    <t>Corigliano Calabro</t>
  </si>
  <si>
    <t>CS</t>
  </si>
  <si>
    <t>Albano Laziale</t>
  </si>
  <si>
    <t>Marcianise</t>
  </si>
  <si>
    <t>Vasto</t>
  </si>
  <si>
    <t>Quarto</t>
  </si>
  <si>
    <t>Marino</t>
  </si>
  <si>
    <t>Voghera</t>
  </si>
  <si>
    <t>PV</t>
  </si>
  <si>
    <t>Monterotondo</t>
  </si>
  <si>
    <t>Spoleto</t>
  </si>
  <si>
    <t>Caltagirone</t>
  </si>
  <si>
    <t>Schio</t>
  </si>
  <si>
    <t>Cantù</t>
  </si>
  <si>
    <t>Pomigliano d'Arco</t>
  </si>
  <si>
    <t>Saronno</t>
  </si>
  <si>
    <t>Licata</t>
  </si>
  <si>
    <t>Mira</t>
  </si>
  <si>
    <t>Modugno</t>
  </si>
  <si>
    <t>Maddaloni</t>
  </si>
  <si>
    <t>Fasano</t>
  </si>
  <si>
    <t>Ciampino</t>
  </si>
  <si>
    <t>Eboli</t>
  </si>
  <si>
    <t>Rossano</t>
  </si>
  <si>
    <t>Merano</t>
  </si>
  <si>
    <t>Monreale</t>
  </si>
  <si>
    <t>Rovereto</t>
  </si>
  <si>
    <t>Melito di Napoli</t>
  </si>
  <si>
    <t>Grugliasco</t>
  </si>
  <si>
    <t>Fermo</t>
  </si>
  <si>
    <t>FM</t>
  </si>
  <si>
    <t>Fondi</t>
  </si>
  <si>
    <t>Formia</t>
  </si>
  <si>
    <t>Cesano Maderno</t>
  </si>
  <si>
    <t>Caivano</t>
  </si>
  <si>
    <t>San Giuliano Milanese</t>
  </si>
  <si>
    <t>Adrano</t>
  </si>
  <si>
    <t>Belluno</t>
  </si>
  <si>
    <t>BL</t>
  </si>
  <si>
    <t>Francavilla Fontana</t>
  </si>
  <si>
    <t>Bollate</t>
  </si>
  <si>
    <t>Pioltello</t>
  </si>
  <si>
    <t>Nuoro</t>
  </si>
  <si>
    <t>NU</t>
  </si>
  <si>
    <t>Lanciano</t>
  </si>
  <si>
    <t>Cerveteri</t>
  </si>
  <si>
    <t>Chieri</t>
  </si>
  <si>
    <t>Pinerolo</t>
  </si>
  <si>
    <t>Carini</t>
  </si>
  <si>
    <t>Casale Monferrato</t>
  </si>
  <si>
    <t>Pagani</t>
  </si>
  <si>
    <t>Arzano</t>
  </si>
  <si>
    <t>Riccione</t>
  </si>
  <si>
    <t>Gorizia</t>
  </si>
  <si>
    <t>GO</t>
  </si>
  <si>
    <t>Casalecchio di Reno</t>
  </si>
  <si>
    <t>Conegliano</t>
  </si>
  <si>
    <t>TV</t>
  </si>
  <si>
    <t>Cento</t>
  </si>
  <si>
    <t>Rende</t>
  </si>
  <si>
    <t>Cisterna di Latina</t>
  </si>
  <si>
    <t>Somma Vesuviana</t>
  </si>
  <si>
    <t>Limbiate</t>
  </si>
  <si>
    <t>Canicattì</t>
  </si>
  <si>
    <t>Piombino</t>
  </si>
  <si>
    <t>Aosta</t>
  </si>
  <si>
    <t>AO</t>
  </si>
  <si>
    <t>VDA</t>
  </si>
  <si>
    <t>Venaria Reale</t>
  </si>
  <si>
    <t>Mugnano di Napoli</t>
  </si>
  <si>
    <t>Augusta</t>
  </si>
  <si>
    <t>Lucera</t>
  </si>
  <si>
    <t>Corsico</t>
  </si>
  <si>
    <t>Segrate</t>
  </si>
  <si>
    <t>Crema</t>
  </si>
  <si>
    <t>CR</t>
  </si>
  <si>
    <t>Favara</t>
  </si>
  <si>
    <t>Vibo Valentia</t>
  </si>
  <si>
    <t>VV</t>
  </si>
  <si>
    <t>Num</t>
  </si>
  <si>
    <t>Trapani</t>
  </si>
  <si>
    <t>NOTE:</t>
  </si>
  <si>
    <t>Ho aggiunto io la colonna NUM per poter tornare all'ordine originario.</t>
  </si>
  <si>
    <t>Monza e Brianza</t>
  </si>
  <si>
    <t>Varese</t>
  </si>
  <si>
    <t>Caserta</t>
  </si>
  <si>
    <t>Agrigento</t>
  </si>
  <si>
    <t>Cosenza</t>
  </si>
  <si>
    <t>3. Quante attività commerciali sono in Lombardia?</t>
  </si>
  <si>
    <t>5. Nella colonna delle città una, citata più volte</t>
  </si>
  <si>
    <t xml:space="preserve">6. Quante attività hanno salvato più di 500kg di cibo? </t>
  </si>
  <si>
    <t xml:space="preserve">9. Quante attività hanno un proprietario con meno di 30 anni?   </t>
  </si>
  <si>
    <t xml:space="preserve">13. Quale regione ha salvato il maggior numero di kg di cibo? </t>
  </si>
  <si>
    <t>(Contiamo gli ID - Attività unici in Lombardia)</t>
  </si>
  <si>
    <t xml:space="preserve">in modo corretto, è scritta in modo errato. </t>
  </si>
  <si>
    <t xml:space="preserve">(ID - Attività considerando in modo aggregato i risultati </t>
  </si>
  <si>
    <t>Qual è la percentuale sul totale?</t>
  </si>
  <si>
    <t>E quale meno?</t>
  </si>
  <si>
    <t>Quale? In che riga si trova?</t>
  </si>
  <si>
    <t>se presente in più record).</t>
  </si>
  <si>
    <t>(Calcolare la data al giorno in cui si effettua il test, non solo anno in corso)</t>
  </si>
  <si>
    <t>Media degli Ordini</t>
  </si>
  <si>
    <t>ID-Attività Distinct Count</t>
  </si>
  <si>
    <t>Kg di Cibo Salvati - Somma</t>
  </si>
  <si>
    <t>Città - Conteggio</t>
  </si>
  <si>
    <t>7. Quale attività è riuscita ad evitare di gettare più kg di cibo?</t>
  </si>
  <si>
    <t>Test effettuato il 01/05/2023</t>
  </si>
  <si>
    <t>(ID - Attività considerando in modo aggregato i risultati</t>
  </si>
  <si>
    <t>ID-Attività Conteggio</t>
  </si>
  <si>
    <t>ID-Attività</t>
  </si>
  <si>
    <t>Totale complessivo</t>
  </si>
  <si>
    <t xml:space="preserve">4. Quale regione ha il maggior numero di attività aderenti? </t>
  </si>
  <si>
    <t xml:space="preserve">(In questo caso consideriamo gli ID - Attività </t>
  </si>
  <si>
    <t>a prescindere che siano unici)</t>
  </si>
  <si>
    <t>Anno di Nascita proprietario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</si>
</sst>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d/m/yyyy"/>
    <numFmt numFmtId="166" formatCode="#,##0.00%"/>
  </numFmts>
  <fonts count="7">
    <font>
      <sz val="11.0"/>
      <color theme="1"/>
      <name val="Calibri"/>
      <scheme val="minor"/>
    </font>
    <font>
      <sz val="11.0"/>
      <color theme="1"/>
      <name val="Calibri"/>
    </font>
    <font>
      <sz val="10.0"/>
      <color rgb="FF000000"/>
      <name val="Arial"/>
    </font>
    <font>
      <b/>
      <sz val="11.0"/>
      <color rgb="FF000000"/>
      <name val="Calibri"/>
    </font>
    <font>
      <sz val="11.0"/>
      <color rgb="FF000000"/>
      <name val="Calibri"/>
    </font>
    <font>
      <sz val="10.0"/>
      <color rgb="FF000000"/>
      <name val="Calibri"/>
    </font>
    <font>
      <b/>
      <sz val="10.0"/>
      <color rgb="FF000000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E2EFDA"/>
        <bgColor rgb="FFE2EFDA"/>
      </patternFill>
    </fill>
    <fill>
      <patternFill patternType="solid">
        <fgColor rgb="FFFEF2CD"/>
        <bgColor rgb="FFFEF2CD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BD9D7"/>
        <bgColor rgb="FFFBD9D7"/>
      </patternFill>
    </fill>
    <fill>
      <patternFill patternType="solid">
        <fgColor rgb="FFD3F1DB"/>
        <bgColor rgb="FFD3F1DB"/>
      </patternFill>
    </fill>
    <fill>
      <patternFill patternType="solid">
        <fgColor rgb="FFDAF2F4"/>
        <bgColor rgb="FFDAF2F4"/>
      </patternFill>
    </fill>
    <fill>
      <patternFill patternType="solid">
        <fgColor rgb="FFFFCCCC"/>
        <bgColor rgb="FFFFCCCC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C6C6C6"/>
      </right>
      <top style="thin">
        <color rgb="FFC6C6C6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C6C6C6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000000"/>
      </bottom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C6C6C6"/>
      </right>
      <top style="thin">
        <color rgb="FFC6C6C6"/>
      </top>
      <bottom style="thin">
        <color rgb="FFC6C6C6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</border>
    <border>
      <left style="thin">
        <color rgb="FFC6C6C6"/>
      </left>
      <right style="thin">
        <color rgb="FFC6C6C6"/>
      </right>
      <top style="thin">
        <color rgb="FF000000"/>
      </top>
      <bottom style="double">
        <color rgb="FF000000"/>
      </bottom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shrinkToFit="0" wrapText="1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horizontal="left"/>
    </xf>
    <xf borderId="1" fillId="2" fontId="3" numFmtId="0" xfId="0" applyAlignment="1" applyBorder="1" applyFill="1" applyFont="1">
      <alignment horizontal="left"/>
    </xf>
    <xf borderId="1" fillId="0" fontId="4" numFmtId="0" xfId="0" applyAlignment="1" applyBorder="1" applyFont="1">
      <alignment horizontal="left"/>
    </xf>
    <xf borderId="1" fillId="3" fontId="4" numFmtId="0" xfId="0" applyAlignment="1" applyBorder="1" applyFill="1" applyFont="1">
      <alignment horizontal="left"/>
    </xf>
    <xf borderId="2" fillId="2" fontId="3" numFmtId="0" xfId="0" applyAlignment="1" applyBorder="1" applyFont="1">
      <alignment horizontal="left"/>
    </xf>
    <xf borderId="3" fillId="4" fontId="2" numFmtId="0" xfId="0" applyAlignment="1" applyBorder="1" applyFill="1" applyFont="1">
      <alignment horizontal="left"/>
    </xf>
    <xf borderId="3" fillId="2" fontId="3" numFmtId="0" xfId="0" applyAlignment="1" applyBorder="1" applyFont="1">
      <alignment horizontal="left"/>
    </xf>
    <xf borderId="4" fillId="0" fontId="4" numFmtId="0" xfId="0" applyAlignment="1" applyBorder="1" applyFont="1">
      <alignment horizontal="left"/>
    </xf>
    <xf borderId="5" fillId="2" fontId="3" numFmtId="0" xfId="0" applyAlignment="1" applyBorder="1" applyFont="1">
      <alignment horizontal="left"/>
    </xf>
    <xf borderId="6" fillId="0" fontId="4" numFmtId="0" xfId="0" applyAlignment="1" applyBorder="1" applyFont="1">
      <alignment horizontal="left"/>
    </xf>
    <xf borderId="0" fillId="0" fontId="3" numFmtId="0" xfId="0" applyAlignment="1" applyFont="1">
      <alignment horizontal="left"/>
    </xf>
    <xf borderId="3" fillId="3" fontId="4" numFmtId="0" xfId="0" applyAlignment="1" applyBorder="1" applyFont="1">
      <alignment horizontal="left"/>
    </xf>
    <xf borderId="7" fillId="2" fontId="3" numFmtId="0" xfId="0" applyAlignment="1" applyBorder="1" applyFont="1">
      <alignment horizontal="left"/>
    </xf>
    <xf borderId="8" fillId="0" fontId="4" numFmtId="0" xfId="0" applyAlignment="1" applyBorder="1" applyFont="1">
      <alignment horizontal="left"/>
    </xf>
    <xf borderId="9" fillId="2" fontId="3" numFmtId="0" xfId="0" applyAlignment="1" applyBorder="1" applyFont="1">
      <alignment horizontal="left"/>
    </xf>
    <xf borderId="10" fillId="2" fontId="3" numFmtId="0" xfId="0" applyAlignment="1" applyBorder="1" applyFont="1">
      <alignment horizontal="left"/>
    </xf>
    <xf borderId="11" fillId="0" fontId="4" numFmtId="0" xfId="0" applyAlignment="1" applyBorder="1" applyFont="1">
      <alignment horizontal="left"/>
    </xf>
    <xf borderId="12" fillId="2" fontId="3" numFmtId="0" xfId="0" applyAlignment="1" applyBorder="1" applyFont="1">
      <alignment horizontal="left"/>
    </xf>
    <xf borderId="13" fillId="0" fontId="4" numFmtId="0" xfId="0" applyAlignment="1" applyBorder="1" applyFont="1">
      <alignment horizontal="left"/>
    </xf>
    <xf borderId="7" fillId="3" fontId="4" numFmtId="0" xfId="0" applyAlignment="1" applyBorder="1" applyFont="1">
      <alignment horizontal="left"/>
    </xf>
    <xf borderId="9" fillId="3" fontId="4" numFmtId="0" xfId="0" applyAlignment="1" applyBorder="1" applyFont="1">
      <alignment horizontal="left"/>
    </xf>
    <xf borderId="14" fillId="2" fontId="3" numFmtId="3" xfId="0" applyAlignment="1" applyBorder="1" applyFont="1" applyNumberFormat="1">
      <alignment horizontal="center"/>
    </xf>
    <xf borderId="14" fillId="2" fontId="3" numFmtId="0" xfId="0" applyAlignment="1" applyBorder="1" applyFont="1">
      <alignment horizontal="left"/>
    </xf>
    <xf borderId="14" fillId="2" fontId="3" numFmtId="3" xfId="0" applyAlignment="1" applyBorder="1" applyFont="1" applyNumberFormat="1">
      <alignment horizontal="left"/>
    </xf>
    <xf borderId="14" fillId="2" fontId="3" numFmtId="164" xfId="0" applyAlignment="1" applyBorder="1" applyFont="1" applyNumberFormat="1">
      <alignment horizontal="left"/>
    </xf>
    <xf borderId="14" fillId="2" fontId="3" numFmtId="0" xfId="0" applyAlignment="1" applyBorder="1" applyFont="1">
      <alignment horizontal="center"/>
    </xf>
    <xf borderId="0" fillId="0" fontId="5" numFmtId="0" xfId="0" applyAlignment="1" applyFont="1">
      <alignment horizontal="left"/>
    </xf>
    <xf borderId="0" fillId="0" fontId="4" numFmtId="3" xfId="0" applyAlignment="1" applyFont="1" applyNumberFormat="1">
      <alignment horizontal="center"/>
    </xf>
    <xf borderId="0" fillId="0" fontId="4" numFmtId="0" xfId="0" applyAlignment="1" applyFont="1">
      <alignment horizontal="left"/>
    </xf>
    <xf borderId="0" fillId="0" fontId="4" numFmtId="3" xfId="0" applyAlignment="1" applyFont="1" applyNumberFormat="1">
      <alignment horizontal="right"/>
    </xf>
    <xf borderId="0" fillId="0" fontId="4" numFmtId="164" xfId="0" applyAlignment="1" applyFont="1" applyNumberFormat="1">
      <alignment horizontal="right"/>
    </xf>
    <xf borderId="0" fillId="0" fontId="4" numFmtId="0" xfId="0" applyAlignment="1" applyFont="1">
      <alignment horizontal="center"/>
    </xf>
    <xf borderId="0" fillId="0" fontId="4" numFmtId="165" xfId="0" applyAlignment="1" applyFont="1" applyNumberFormat="1">
      <alignment horizontal="right"/>
    </xf>
    <xf borderId="0" fillId="0" fontId="5" numFmtId="3" xfId="0" applyAlignment="1" applyFont="1" applyNumberFormat="1">
      <alignment horizontal="left"/>
    </xf>
    <xf borderId="0" fillId="0" fontId="5" numFmtId="164" xfId="0" applyAlignment="1" applyFont="1" applyNumberFormat="1">
      <alignment horizontal="left"/>
    </xf>
    <xf borderId="14" fillId="2" fontId="3" numFmtId="1" xfId="0" applyAlignment="1" applyBorder="1" applyFont="1" applyNumberFormat="1">
      <alignment horizontal="left"/>
    </xf>
    <xf borderId="0" fillId="0" fontId="5" numFmtId="4" xfId="0" applyAlignment="1" applyFont="1" applyNumberFormat="1">
      <alignment horizontal="left"/>
    </xf>
    <xf borderId="0" fillId="0" fontId="5" numFmtId="3" xfId="0" applyAlignment="1" applyFont="1" applyNumberFormat="1">
      <alignment horizontal="right"/>
    </xf>
    <xf borderId="0" fillId="0" fontId="4" numFmtId="4" xfId="0" applyAlignment="1" applyFont="1" applyNumberFormat="1">
      <alignment horizontal="left"/>
    </xf>
    <xf borderId="0" fillId="0" fontId="1" numFmtId="4" xfId="0" applyFont="1" applyNumberFormat="1"/>
    <xf borderId="0" fillId="0" fontId="4" numFmtId="4" xfId="0" applyAlignment="1" applyFont="1" applyNumberFormat="1">
      <alignment horizontal="right"/>
    </xf>
    <xf borderId="0" fillId="0" fontId="5" numFmtId="1" xfId="0" applyAlignment="1" applyFont="1" applyNumberFormat="1">
      <alignment horizontal="left"/>
    </xf>
    <xf borderId="0" fillId="0" fontId="1" numFmtId="3" xfId="0" applyFont="1" applyNumberFormat="1"/>
    <xf borderId="0" fillId="0" fontId="1" numFmtId="164" xfId="0" applyFont="1" applyNumberFormat="1"/>
    <xf borderId="0" fillId="0" fontId="4" numFmtId="3" xfId="0" applyAlignment="1" applyFont="1" applyNumberFormat="1">
      <alignment horizontal="left"/>
    </xf>
    <xf borderId="0" fillId="0" fontId="4" numFmtId="164" xfId="0" applyAlignment="1" applyFont="1" applyNumberFormat="1">
      <alignment horizontal="left"/>
    </xf>
    <xf borderId="14" fillId="5" fontId="5" numFmtId="0" xfId="0" applyAlignment="1" applyBorder="1" applyFill="1" applyFont="1">
      <alignment horizontal="left"/>
    </xf>
    <xf borderId="14" fillId="5" fontId="5" numFmtId="4" xfId="0" applyAlignment="1" applyBorder="1" applyFont="1" applyNumberFormat="1">
      <alignment horizontal="right"/>
    </xf>
    <xf borderId="14" fillId="3" fontId="5" numFmtId="0" xfId="0" applyAlignment="1" applyBorder="1" applyFont="1">
      <alignment horizontal="left"/>
    </xf>
    <xf borderId="14" fillId="3" fontId="5" numFmtId="3" xfId="0" applyAlignment="1" applyBorder="1" applyFont="1" applyNumberFormat="1">
      <alignment horizontal="right"/>
    </xf>
    <xf borderId="14" fillId="6" fontId="5" numFmtId="166" xfId="0" applyAlignment="1" applyBorder="1" applyFill="1" applyFont="1" applyNumberFormat="1">
      <alignment horizontal="right"/>
    </xf>
    <xf borderId="14" fillId="7" fontId="6" numFmtId="0" xfId="0" applyAlignment="1" applyBorder="1" applyFill="1" applyFont="1">
      <alignment horizontal="left"/>
    </xf>
    <xf borderId="14" fillId="5" fontId="6" numFmtId="3" xfId="0" applyAlignment="1" applyBorder="1" applyFont="1" applyNumberFormat="1">
      <alignment horizontal="right"/>
    </xf>
    <xf borderId="14" fillId="5" fontId="5" numFmtId="3" xfId="0" applyAlignment="1" applyBorder="1" applyFont="1" applyNumberFormat="1">
      <alignment horizontal="right"/>
    </xf>
    <xf borderId="14" fillId="5" fontId="5" numFmtId="164" xfId="0" applyAlignment="1" applyBorder="1" applyFont="1" applyNumberFormat="1">
      <alignment horizontal="left"/>
    </xf>
    <xf borderId="14" fillId="8" fontId="5" numFmtId="3" xfId="0" applyAlignment="1" applyBorder="1" applyFill="1" applyFont="1" applyNumberFormat="1">
      <alignment horizontal="right"/>
    </xf>
    <xf borderId="14" fillId="9" fontId="6" numFmtId="0" xfId="0" applyAlignment="1" applyBorder="1" applyFill="1" applyFont="1">
      <alignment horizontal="left"/>
    </xf>
    <xf borderId="15" fillId="5" fontId="5" numFmtId="0" xfId="0" applyAlignment="1" applyBorder="1" applyFont="1">
      <alignment horizontal="left"/>
    </xf>
    <xf borderId="15" fillId="5" fontId="5" numFmtId="4" xfId="0" applyAlignment="1" applyBorder="1" applyFont="1" applyNumberFormat="1">
      <alignment horizontal="right"/>
    </xf>
    <xf borderId="15" fillId="5" fontId="5" numFmtId="3" xfId="0" applyAlignment="1" applyBorder="1" applyFont="1" applyNumberFormat="1">
      <alignment horizontal="right"/>
    </xf>
    <xf borderId="15" fillId="5" fontId="5" numFmtId="164" xfId="0" applyAlignment="1" applyBorder="1" applyFont="1" applyNumberFormat="1">
      <alignment horizontal="left"/>
    </xf>
    <xf borderId="14" fillId="7" fontId="5" numFmtId="0" xfId="0" applyAlignment="1" applyBorder="1" applyFont="1">
      <alignment horizontal="left"/>
    </xf>
    <xf borderId="14" fillId="7" fontId="5" numFmtId="3" xfId="0" applyAlignment="1" applyBorder="1" applyFont="1" applyNumberFormat="1">
      <alignment horizontal="right"/>
    </xf>
    <xf borderId="15" fillId="5" fontId="5" numFmtId="3" xfId="0" applyAlignment="1" applyBorder="1" applyFont="1" applyNumberForma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1" width="13.57"/>
    <col customWidth="1" min="2" max="2" width="184.57"/>
    <col customWidth="1" min="3" max="8" width="13.57"/>
  </cols>
  <sheetData>
    <row r="1" ht="18.75" customHeight="1">
      <c r="A1" s="1"/>
      <c r="B1" s="2"/>
      <c r="C1" s="1"/>
      <c r="D1" s="1"/>
      <c r="E1" s="1"/>
      <c r="F1" s="1"/>
      <c r="G1" s="1"/>
      <c r="H1" s="1"/>
    </row>
    <row r="2" ht="18.75" customHeight="1">
      <c r="A2" s="1"/>
      <c r="B2" s="2"/>
      <c r="C2" s="1"/>
      <c r="D2" s="1"/>
      <c r="E2" s="1"/>
      <c r="F2" s="1"/>
      <c r="G2" s="1"/>
      <c r="H2" s="1"/>
    </row>
    <row r="3" ht="475.5" customHeight="1">
      <c r="A3" s="1"/>
      <c r="B3" s="3" t="s">
        <v>0</v>
      </c>
      <c r="C3" s="1"/>
      <c r="D3" s="1"/>
      <c r="E3" s="1"/>
      <c r="F3" s="1"/>
      <c r="G3" s="1"/>
      <c r="H3" s="1"/>
    </row>
    <row r="4" ht="18.75" customHeight="1">
      <c r="A4" s="1"/>
      <c r="B4" s="2"/>
      <c r="C4" s="1"/>
      <c r="D4" s="1"/>
      <c r="E4" s="1"/>
      <c r="F4" s="1"/>
      <c r="G4" s="1"/>
      <c r="H4" s="1"/>
    </row>
    <row r="5" ht="18.75" customHeight="1">
      <c r="A5" s="1"/>
      <c r="B5" s="2"/>
      <c r="C5" s="1"/>
      <c r="D5" s="1"/>
      <c r="E5" s="1"/>
      <c r="F5" s="1"/>
      <c r="G5" s="1"/>
      <c r="H5" s="1"/>
    </row>
    <row r="6" ht="18.75" customHeight="1">
      <c r="A6" s="1"/>
      <c r="B6" s="2"/>
      <c r="C6" s="1"/>
      <c r="D6" s="1"/>
      <c r="E6" s="1"/>
      <c r="F6" s="1"/>
      <c r="G6" s="1"/>
      <c r="H6" s="1"/>
    </row>
    <row r="7" ht="18.75" customHeight="1">
      <c r="A7" s="1"/>
      <c r="B7" s="2"/>
      <c r="C7" s="1"/>
      <c r="D7" s="1"/>
      <c r="E7" s="1"/>
      <c r="F7" s="1"/>
      <c r="G7" s="1"/>
      <c r="H7" s="1"/>
    </row>
    <row r="8" ht="18.75" customHeight="1">
      <c r="A8" s="1"/>
      <c r="B8" s="2"/>
      <c r="C8" s="1"/>
      <c r="D8" s="1"/>
      <c r="E8" s="1"/>
      <c r="F8" s="1"/>
      <c r="G8" s="1"/>
      <c r="H8" s="1"/>
    </row>
    <row r="9" ht="18.75" customHeight="1">
      <c r="A9" s="1"/>
      <c r="B9" s="2"/>
      <c r="C9" s="1"/>
      <c r="D9" s="1"/>
      <c r="E9" s="1"/>
      <c r="F9" s="1"/>
      <c r="G9" s="1"/>
      <c r="H9" s="1"/>
    </row>
    <row r="10" ht="18.75" customHeight="1">
      <c r="A10" s="1"/>
      <c r="B10" s="2"/>
      <c r="C10" s="1"/>
      <c r="D10" s="1"/>
      <c r="E10" s="1"/>
      <c r="F10" s="1"/>
      <c r="G10" s="1"/>
      <c r="H10" s="1"/>
    </row>
    <row r="11" ht="18.75" customHeight="1">
      <c r="A11" s="1"/>
      <c r="B11" s="2"/>
      <c r="C11" s="1"/>
      <c r="D11" s="1"/>
      <c r="E11" s="1"/>
      <c r="F11" s="1"/>
      <c r="G11" s="1"/>
      <c r="H11" s="1"/>
    </row>
    <row r="12" ht="18.75" customHeight="1">
      <c r="A12" s="1"/>
      <c r="B12" s="2"/>
      <c r="C12" s="1"/>
      <c r="D12" s="1"/>
      <c r="E12" s="1"/>
      <c r="F12" s="1"/>
      <c r="G12" s="1"/>
      <c r="H12" s="1"/>
    </row>
    <row r="13" ht="18.75" customHeight="1">
      <c r="A13" s="1"/>
      <c r="B13" s="2"/>
      <c r="C13" s="1"/>
      <c r="D13" s="1"/>
      <c r="E13" s="1"/>
      <c r="F13" s="1"/>
      <c r="G13" s="1"/>
      <c r="H13" s="1"/>
    </row>
    <row r="14" ht="18.75" customHeight="1">
      <c r="A14" s="1"/>
      <c r="B14" s="2"/>
      <c r="C14" s="1"/>
      <c r="D14" s="1"/>
      <c r="E14" s="1"/>
      <c r="F14" s="1"/>
      <c r="G14" s="1"/>
      <c r="H14" s="1"/>
    </row>
    <row r="15" ht="18.75" customHeight="1">
      <c r="A15" s="1"/>
      <c r="B15" s="2"/>
      <c r="C15" s="1"/>
      <c r="D15" s="1"/>
      <c r="E15" s="1"/>
      <c r="F15" s="1"/>
      <c r="G15" s="1"/>
      <c r="H15" s="1"/>
    </row>
    <row r="16" ht="18.75" customHeight="1">
      <c r="A16" s="1"/>
      <c r="B16" s="2"/>
      <c r="C16" s="1"/>
      <c r="D16" s="1"/>
      <c r="E16" s="1"/>
      <c r="F16" s="1"/>
      <c r="G16" s="1"/>
      <c r="H16" s="1"/>
    </row>
    <row r="17" ht="18.75" customHeight="1">
      <c r="A17" s="1"/>
      <c r="B17" s="2"/>
      <c r="C17" s="1"/>
      <c r="D17" s="1"/>
      <c r="E17" s="1"/>
      <c r="F17" s="1"/>
      <c r="G17" s="1"/>
      <c r="H17" s="1"/>
    </row>
    <row r="18" ht="18.75" customHeight="1">
      <c r="A18" s="1"/>
      <c r="B18" s="2"/>
      <c r="C18" s="1"/>
      <c r="D18" s="1"/>
      <c r="E18" s="1"/>
      <c r="F18" s="1"/>
      <c r="G18" s="1"/>
      <c r="H18" s="1"/>
    </row>
    <row r="19" ht="18.75" customHeight="1">
      <c r="A19" s="1"/>
      <c r="B19" s="2"/>
      <c r="C19" s="1"/>
      <c r="D19" s="1"/>
      <c r="E19" s="1"/>
      <c r="F19" s="1"/>
      <c r="G19" s="1"/>
      <c r="H19" s="1"/>
    </row>
    <row r="20" ht="18.75" customHeight="1">
      <c r="A20" s="1"/>
      <c r="B20" s="2"/>
      <c r="C20" s="1"/>
      <c r="D20" s="1"/>
      <c r="E20" s="1"/>
      <c r="F20" s="1"/>
      <c r="G20" s="1"/>
      <c r="H20" s="1"/>
    </row>
    <row r="21" ht="18.75" customHeight="1">
      <c r="A21" s="1"/>
      <c r="B21" s="2"/>
      <c r="C21" s="1"/>
      <c r="D21" s="1"/>
      <c r="E21" s="1"/>
      <c r="F21" s="1"/>
      <c r="G21" s="1"/>
      <c r="H21" s="1"/>
    </row>
    <row r="22" ht="18.75" customHeight="1">
      <c r="A22" s="1"/>
      <c r="B22" s="2"/>
      <c r="C22" s="1"/>
      <c r="D22" s="1"/>
      <c r="E22" s="1"/>
      <c r="F22" s="1"/>
      <c r="G22" s="1"/>
      <c r="H22" s="1"/>
    </row>
    <row r="23" ht="15.75" customHeight="1">
      <c r="A23" s="1"/>
      <c r="B23" s="2"/>
      <c r="C23" s="1"/>
      <c r="D23" s="1"/>
      <c r="E23" s="1"/>
      <c r="F23" s="1"/>
      <c r="G23" s="1"/>
      <c r="H23" s="1"/>
    </row>
    <row r="24" ht="15.75" customHeight="1">
      <c r="A24" s="1"/>
      <c r="B24" s="2"/>
      <c r="C24" s="1"/>
      <c r="D24" s="1"/>
      <c r="E24" s="1"/>
      <c r="F24" s="1"/>
      <c r="G24" s="1"/>
      <c r="H24" s="1"/>
    </row>
    <row r="25" ht="15.75" customHeight="1">
      <c r="A25" s="1"/>
      <c r="B25" s="2"/>
      <c r="C25" s="1"/>
      <c r="D25" s="1"/>
      <c r="E25" s="1"/>
      <c r="F25" s="1"/>
      <c r="G25" s="1"/>
      <c r="H25" s="1"/>
    </row>
    <row r="26" ht="15.75" customHeight="1">
      <c r="A26" s="1"/>
      <c r="B26" s="2"/>
      <c r="C26" s="1"/>
      <c r="D26" s="1"/>
      <c r="E26" s="1"/>
      <c r="F26" s="1"/>
      <c r="G26" s="1"/>
      <c r="H26" s="1"/>
    </row>
    <row r="27" ht="15.75" customHeight="1">
      <c r="A27" s="1"/>
      <c r="B27" s="2"/>
      <c r="C27" s="1"/>
      <c r="D27" s="1"/>
      <c r="E27" s="1"/>
      <c r="F27" s="1"/>
      <c r="G27" s="1"/>
      <c r="H27" s="1"/>
    </row>
    <row r="28" ht="15.75" customHeight="1">
      <c r="A28" s="1"/>
      <c r="B28" s="2"/>
      <c r="C28" s="1"/>
      <c r="D28" s="1"/>
      <c r="E28" s="1"/>
      <c r="F28" s="1"/>
      <c r="G28" s="1"/>
      <c r="H28" s="1"/>
    </row>
    <row r="29" ht="15.75" customHeight="1">
      <c r="A29" s="1"/>
      <c r="B29" s="2"/>
      <c r="C29" s="1"/>
      <c r="D29" s="1"/>
      <c r="E29" s="1"/>
      <c r="F29" s="1"/>
      <c r="G29" s="1"/>
      <c r="H29" s="1"/>
    </row>
    <row r="30" ht="15.75" customHeight="1">
      <c r="A30" s="1"/>
      <c r="B30" s="2"/>
      <c r="C30" s="1"/>
      <c r="D30" s="1"/>
      <c r="E30" s="1"/>
      <c r="F30" s="1"/>
      <c r="G30" s="1"/>
      <c r="H30" s="1"/>
    </row>
    <row r="31" ht="15.75" customHeight="1">
      <c r="A31" s="1"/>
      <c r="B31" s="2"/>
      <c r="C31" s="1"/>
      <c r="D31" s="1"/>
      <c r="E31" s="1"/>
      <c r="F31" s="1"/>
      <c r="G31" s="1"/>
      <c r="H31" s="1"/>
    </row>
    <row r="32" ht="15.75" customHeight="1">
      <c r="A32" s="1"/>
      <c r="B32" s="2"/>
      <c r="C32" s="1"/>
      <c r="D32" s="1"/>
      <c r="E32" s="1"/>
      <c r="F32" s="1"/>
      <c r="G32" s="1"/>
      <c r="H32" s="1"/>
    </row>
    <row r="33" ht="15.75" customHeight="1">
      <c r="A33" s="1"/>
      <c r="B33" s="2"/>
      <c r="C33" s="1"/>
      <c r="D33" s="1"/>
      <c r="E33" s="1"/>
      <c r="F33" s="1"/>
      <c r="G33" s="1"/>
      <c r="H33" s="1"/>
    </row>
    <row r="34" ht="15.75" customHeight="1">
      <c r="A34" s="1"/>
      <c r="B34" s="2"/>
      <c r="C34" s="1"/>
      <c r="D34" s="1"/>
      <c r="E34" s="1"/>
      <c r="F34" s="1"/>
      <c r="G34" s="1"/>
      <c r="H34" s="1"/>
    </row>
    <row r="35" ht="15.75" customHeight="1">
      <c r="A35" s="1"/>
      <c r="B35" s="2"/>
      <c r="C35" s="1"/>
      <c r="D35" s="1"/>
      <c r="E35" s="1"/>
      <c r="F35" s="1"/>
      <c r="G35" s="1"/>
      <c r="H35" s="1"/>
    </row>
    <row r="36" ht="15.75" customHeight="1">
      <c r="A36" s="1"/>
      <c r="B36" s="2"/>
      <c r="C36" s="1"/>
      <c r="D36" s="1"/>
      <c r="E36" s="1"/>
      <c r="F36" s="1"/>
      <c r="G36" s="1"/>
      <c r="H36" s="1"/>
    </row>
    <row r="37" ht="15.75" customHeight="1">
      <c r="A37" s="1"/>
      <c r="B37" s="2"/>
      <c r="C37" s="1"/>
      <c r="D37" s="1"/>
      <c r="E37" s="1"/>
      <c r="F37" s="1"/>
      <c r="G37" s="1"/>
      <c r="H37" s="1"/>
    </row>
    <row r="38" ht="15.75" customHeight="1">
      <c r="A38" s="1"/>
      <c r="B38" s="2"/>
      <c r="C38" s="1"/>
      <c r="D38" s="1"/>
      <c r="E38" s="1"/>
      <c r="F38" s="1"/>
      <c r="G38" s="1"/>
      <c r="H38" s="1"/>
    </row>
    <row r="39" ht="15.75" customHeight="1">
      <c r="A39" s="1"/>
      <c r="B39" s="2"/>
      <c r="C39" s="1"/>
      <c r="D39" s="1"/>
      <c r="E39" s="1"/>
      <c r="F39" s="1"/>
      <c r="G39" s="1"/>
      <c r="H39" s="1"/>
    </row>
    <row r="40" ht="15.75" customHeight="1">
      <c r="A40" s="1"/>
      <c r="B40" s="2"/>
      <c r="C40" s="1"/>
      <c r="D40" s="1"/>
      <c r="E40" s="1"/>
      <c r="F40" s="1"/>
      <c r="G40" s="1"/>
      <c r="H40" s="1"/>
    </row>
    <row r="41" ht="15.75" customHeight="1">
      <c r="A41" s="1"/>
      <c r="B41" s="2"/>
      <c r="C41" s="1"/>
      <c r="D41" s="1"/>
      <c r="E41" s="1"/>
      <c r="F41" s="1"/>
      <c r="G41" s="1"/>
      <c r="H41" s="1"/>
    </row>
    <row r="42" ht="15.75" customHeight="1">
      <c r="A42" s="1"/>
      <c r="B42" s="2"/>
      <c r="C42" s="1"/>
      <c r="D42" s="1"/>
      <c r="E42" s="1"/>
      <c r="F42" s="1"/>
      <c r="G42" s="1"/>
      <c r="H42" s="1"/>
    </row>
    <row r="43" ht="15.75" customHeight="1">
      <c r="A43" s="1"/>
      <c r="B43" s="2"/>
      <c r="C43" s="1"/>
      <c r="D43" s="1"/>
      <c r="E43" s="1"/>
      <c r="F43" s="1"/>
      <c r="G43" s="1"/>
      <c r="H43" s="1"/>
    </row>
    <row r="44" ht="15.75" customHeight="1">
      <c r="A44" s="1"/>
      <c r="B44" s="2"/>
      <c r="C44" s="1"/>
      <c r="D44" s="1"/>
      <c r="E44" s="1"/>
      <c r="F44" s="1"/>
      <c r="G44" s="1"/>
      <c r="H44" s="1"/>
    </row>
    <row r="45" ht="15.75" customHeight="1">
      <c r="A45" s="1"/>
      <c r="B45" s="2"/>
      <c r="C45" s="1"/>
      <c r="D45" s="1"/>
      <c r="E45" s="1"/>
      <c r="F45" s="1"/>
      <c r="G45" s="1"/>
      <c r="H45" s="1"/>
    </row>
    <row r="46" ht="15.75" customHeight="1">
      <c r="A46" s="1"/>
      <c r="B46" s="2"/>
      <c r="C46" s="1"/>
      <c r="D46" s="1"/>
      <c r="E46" s="1"/>
      <c r="F46" s="1"/>
      <c r="G46" s="1"/>
      <c r="H46" s="1"/>
    </row>
    <row r="47" ht="15.75" customHeight="1">
      <c r="A47" s="1"/>
      <c r="B47" s="2"/>
      <c r="C47" s="1"/>
      <c r="D47" s="1"/>
      <c r="E47" s="1"/>
      <c r="F47" s="1"/>
      <c r="G47" s="1"/>
      <c r="H47" s="1"/>
    </row>
    <row r="48" ht="15.75" customHeight="1">
      <c r="A48" s="1"/>
      <c r="B48" s="2"/>
      <c r="C48" s="1"/>
      <c r="D48" s="1"/>
      <c r="E48" s="1"/>
      <c r="F48" s="1"/>
      <c r="G48" s="1"/>
      <c r="H48" s="1"/>
    </row>
    <row r="49" ht="15.75" customHeight="1">
      <c r="A49" s="1"/>
      <c r="B49" s="2"/>
      <c r="C49" s="1"/>
      <c r="D49" s="1"/>
      <c r="E49" s="1"/>
      <c r="F49" s="1"/>
      <c r="G49" s="1"/>
      <c r="H49" s="1"/>
    </row>
    <row r="50" ht="15.75" customHeight="1">
      <c r="A50" s="1"/>
      <c r="B50" s="2"/>
      <c r="C50" s="1"/>
      <c r="D50" s="1"/>
      <c r="E50" s="1"/>
      <c r="F50" s="1"/>
      <c r="G50" s="1"/>
      <c r="H50" s="1"/>
    </row>
    <row r="51" ht="15.75" customHeight="1">
      <c r="A51" s="1"/>
      <c r="B51" s="2"/>
      <c r="C51" s="1"/>
      <c r="D51" s="1"/>
      <c r="E51" s="1"/>
      <c r="F51" s="1"/>
      <c r="G51" s="1"/>
      <c r="H51" s="1"/>
    </row>
    <row r="52" ht="15.75" customHeight="1">
      <c r="A52" s="1"/>
      <c r="B52" s="2"/>
      <c r="C52" s="1"/>
      <c r="D52" s="1"/>
      <c r="E52" s="1"/>
      <c r="F52" s="1"/>
      <c r="G52" s="1"/>
      <c r="H52" s="1"/>
    </row>
    <row r="53" ht="15.75" customHeight="1">
      <c r="A53" s="1"/>
      <c r="B53" s="2"/>
      <c r="C53" s="1"/>
      <c r="D53" s="1"/>
      <c r="E53" s="1"/>
      <c r="F53" s="1"/>
      <c r="G53" s="1"/>
      <c r="H53" s="1"/>
    </row>
    <row r="54" ht="15.75" customHeight="1">
      <c r="A54" s="1"/>
      <c r="B54" s="2"/>
      <c r="C54" s="1"/>
      <c r="D54" s="1"/>
      <c r="E54" s="1"/>
      <c r="F54" s="1"/>
      <c r="G54" s="1"/>
      <c r="H54" s="1"/>
    </row>
    <row r="55" ht="15.75" customHeight="1">
      <c r="A55" s="1"/>
      <c r="B55" s="2"/>
      <c r="C55" s="1"/>
      <c r="D55" s="1"/>
      <c r="E55" s="1"/>
      <c r="F55" s="1"/>
      <c r="G55" s="1"/>
      <c r="H55" s="1"/>
    </row>
    <row r="56" ht="15.75" customHeight="1">
      <c r="A56" s="1"/>
      <c r="B56" s="2"/>
      <c r="C56" s="1"/>
      <c r="D56" s="1"/>
      <c r="E56" s="1"/>
      <c r="F56" s="1"/>
      <c r="G56" s="1"/>
      <c r="H56" s="1"/>
    </row>
    <row r="57" ht="15.75" customHeight="1">
      <c r="A57" s="1"/>
      <c r="B57" s="2"/>
      <c r="C57" s="1"/>
      <c r="D57" s="1"/>
      <c r="E57" s="1"/>
      <c r="F57" s="1"/>
      <c r="G57" s="1"/>
      <c r="H57" s="1"/>
    </row>
    <row r="58" ht="15.75" customHeight="1">
      <c r="A58" s="1"/>
      <c r="B58" s="2"/>
      <c r="C58" s="1"/>
      <c r="D58" s="1"/>
      <c r="E58" s="1"/>
      <c r="F58" s="1"/>
      <c r="G58" s="1"/>
      <c r="H58" s="1"/>
    </row>
    <row r="59" ht="15.75" customHeight="1">
      <c r="A59" s="1"/>
      <c r="B59" s="2"/>
      <c r="C59" s="1"/>
      <c r="D59" s="1"/>
      <c r="E59" s="1"/>
      <c r="F59" s="1"/>
      <c r="G59" s="1"/>
      <c r="H59" s="1"/>
    </row>
    <row r="60" ht="15.75" customHeight="1">
      <c r="A60" s="1"/>
      <c r="B60" s="2"/>
      <c r="C60" s="1"/>
      <c r="D60" s="1"/>
      <c r="E60" s="1"/>
      <c r="F60" s="1"/>
      <c r="G60" s="1"/>
      <c r="H60" s="1"/>
    </row>
    <row r="61" ht="15.75" customHeight="1">
      <c r="A61" s="1"/>
      <c r="B61" s="2"/>
      <c r="C61" s="1"/>
      <c r="D61" s="1"/>
      <c r="E61" s="1"/>
      <c r="F61" s="1"/>
      <c r="G61" s="1"/>
      <c r="H61" s="1"/>
    </row>
    <row r="62" ht="15.75" customHeight="1">
      <c r="A62" s="1"/>
      <c r="B62" s="2"/>
      <c r="C62" s="1"/>
      <c r="D62" s="1"/>
      <c r="E62" s="1"/>
      <c r="F62" s="1"/>
      <c r="G62" s="1"/>
      <c r="H62" s="1"/>
    </row>
    <row r="63" ht="15.75" customHeight="1">
      <c r="A63" s="1"/>
      <c r="B63" s="2"/>
      <c r="C63" s="1"/>
      <c r="D63" s="1"/>
      <c r="E63" s="1"/>
      <c r="F63" s="1"/>
      <c r="G63" s="1"/>
      <c r="H63" s="1"/>
    </row>
    <row r="64" ht="15.75" customHeight="1">
      <c r="A64" s="1"/>
      <c r="B64" s="2"/>
      <c r="C64" s="1"/>
      <c r="D64" s="1"/>
      <c r="E64" s="1"/>
      <c r="F64" s="1"/>
      <c r="G64" s="1"/>
      <c r="H64" s="1"/>
    </row>
    <row r="65" ht="15.75" customHeight="1">
      <c r="A65" s="1"/>
      <c r="B65" s="2"/>
      <c r="C65" s="1"/>
      <c r="D65" s="1"/>
      <c r="E65" s="1"/>
      <c r="F65" s="1"/>
      <c r="G65" s="1"/>
      <c r="H65" s="1"/>
    </row>
    <row r="66" ht="15.75" customHeight="1">
      <c r="A66" s="1"/>
      <c r="B66" s="2"/>
      <c r="C66" s="1"/>
      <c r="D66" s="1"/>
      <c r="E66" s="1"/>
      <c r="F66" s="1"/>
      <c r="G66" s="1"/>
      <c r="H66" s="1"/>
    </row>
    <row r="67" ht="15.75" customHeight="1">
      <c r="A67" s="1"/>
      <c r="B67" s="2"/>
      <c r="C67" s="1"/>
      <c r="D67" s="1"/>
      <c r="E67" s="1"/>
      <c r="F67" s="1"/>
      <c r="G67" s="1"/>
      <c r="H67" s="1"/>
    </row>
    <row r="68" ht="15.75" customHeight="1">
      <c r="A68" s="1"/>
      <c r="B68" s="2"/>
      <c r="C68" s="1"/>
      <c r="D68" s="1"/>
      <c r="E68" s="1"/>
      <c r="F68" s="1"/>
      <c r="G68" s="1"/>
      <c r="H68" s="1"/>
    </row>
    <row r="69" ht="15.75" customHeight="1">
      <c r="A69" s="1"/>
      <c r="B69" s="2"/>
      <c r="C69" s="1"/>
      <c r="D69" s="1"/>
      <c r="E69" s="1"/>
      <c r="F69" s="1"/>
      <c r="G69" s="1"/>
      <c r="H69" s="1"/>
    </row>
    <row r="70" ht="15.75" customHeight="1">
      <c r="A70" s="1"/>
      <c r="B70" s="2"/>
      <c r="C70" s="1"/>
      <c r="D70" s="1"/>
      <c r="E70" s="1"/>
      <c r="F70" s="1"/>
      <c r="G70" s="1"/>
      <c r="H70" s="1"/>
    </row>
    <row r="71" ht="15.75" customHeight="1">
      <c r="A71" s="1"/>
      <c r="B71" s="2"/>
      <c r="C71" s="1"/>
      <c r="D71" s="1"/>
      <c r="E71" s="1"/>
      <c r="F71" s="1"/>
      <c r="G71" s="1"/>
      <c r="H71" s="1"/>
    </row>
    <row r="72" ht="15.75" customHeight="1">
      <c r="A72" s="1"/>
      <c r="B72" s="2"/>
      <c r="C72" s="1"/>
      <c r="D72" s="1"/>
      <c r="E72" s="1"/>
      <c r="F72" s="1"/>
      <c r="G72" s="1"/>
      <c r="H72" s="1"/>
    </row>
    <row r="73" ht="15.75" customHeight="1">
      <c r="A73" s="1"/>
      <c r="B73" s="2"/>
      <c r="C73" s="1"/>
      <c r="D73" s="1"/>
      <c r="E73" s="1"/>
      <c r="F73" s="1"/>
      <c r="G73" s="1"/>
      <c r="H73" s="1"/>
    </row>
    <row r="74" ht="15.75" customHeight="1">
      <c r="A74" s="1"/>
      <c r="B74" s="2"/>
      <c r="C74" s="1"/>
      <c r="D74" s="1"/>
      <c r="E74" s="1"/>
      <c r="F74" s="1"/>
      <c r="G74" s="1"/>
      <c r="H74" s="1"/>
    </row>
    <row r="75" ht="15.75" customHeight="1">
      <c r="A75" s="1"/>
      <c r="B75" s="2"/>
      <c r="C75" s="1"/>
      <c r="D75" s="1"/>
      <c r="E75" s="1"/>
      <c r="F75" s="1"/>
      <c r="G75" s="1"/>
      <c r="H75" s="1"/>
    </row>
    <row r="76" ht="15.75" customHeight="1">
      <c r="A76" s="1"/>
      <c r="B76" s="2"/>
      <c r="C76" s="1"/>
      <c r="D76" s="1"/>
      <c r="E76" s="1"/>
      <c r="F76" s="1"/>
      <c r="G76" s="1"/>
      <c r="H76" s="1"/>
    </row>
    <row r="77" ht="15.75" customHeight="1">
      <c r="A77" s="1"/>
      <c r="B77" s="2"/>
      <c r="C77" s="1"/>
      <c r="D77" s="1"/>
      <c r="E77" s="1"/>
      <c r="F77" s="1"/>
      <c r="G77" s="1"/>
      <c r="H77" s="1"/>
    </row>
    <row r="78" ht="15.75" customHeight="1">
      <c r="A78" s="1"/>
      <c r="B78" s="2"/>
      <c r="C78" s="1"/>
      <c r="D78" s="1"/>
      <c r="E78" s="1"/>
      <c r="F78" s="1"/>
      <c r="G78" s="1"/>
      <c r="H78" s="1"/>
    </row>
    <row r="79" ht="15.75" customHeight="1">
      <c r="A79" s="1"/>
      <c r="B79" s="2"/>
      <c r="C79" s="1"/>
      <c r="D79" s="1"/>
      <c r="E79" s="1"/>
      <c r="F79" s="1"/>
      <c r="G79" s="1"/>
      <c r="H79" s="1"/>
    </row>
    <row r="80" ht="15.75" customHeight="1">
      <c r="A80" s="1"/>
      <c r="B80" s="2"/>
      <c r="C80" s="1"/>
      <c r="D80" s="1"/>
      <c r="E80" s="1"/>
      <c r="F80" s="1"/>
      <c r="G80" s="1"/>
      <c r="H80" s="1"/>
    </row>
    <row r="81" ht="15.75" customHeight="1">
      <c r="A81" s="1"/>
      <c r="B81" s="2"/>
      <c r="C81" s="1"/>
      <c r="D81" s="1"/>
      <c r="E81" s="1"/>
      <c r="F81" s="1"/>
      <c r="G81" s="1"/>
      <c r="H81" s="1"/>
    </row>
    <row r="82" ht="15.75" customHeight="1">
      <c r="A82" s="1"/>
      <c r="B82" s="2"/>
      <c r="C82" s="1"/>
      <c r="D82" s="1"/>
      <c r="E82" s="1"/>
      <c r="F82" s="1"/>
      <c r="G82" s="1"/>
      <c r="H82" s="1"/>
    </row>
    <row r="83" ht="15.75" customHeight="1">
      <c r="A83" s="1"/>
      <c r="B83" s="2"/>
      <c r="C83" s="1"/>
      <c r="D83" s="1"/>
      <c r="E83" s="1"/>
      <c r="F83" s="1"/>
      <c r="G83" s="1"/>
      <c r="H83" s="1"/>
    </row>
    <row r="84" ht="15.75" customHeight="1">
      <c r="A84" s="1"/>
      <c r="B84" s="2"/>
      <c r="C84" s="1"/>
      <c r="D84" s="1"/>
      <c r="E84" s="1"/>
      <c r="F84" s="1"/>
      <c r="G84" s="1"/>
      <c r="H84" s="1"/>
    </row>
    <row r="85" ht="15.75" customHeight="1">
      <c r="A85" s="1"/>
      <c r="B85" s="2"/>
      <c r="C85" s="1"/>
      <c r="D85" s="1"/>
      <c r="E85" s="1"/>
      <c r="F85" s="1"/>
      <c r="G85" s="1"/>
      <c r="H85" s="1"/>
    </row>
    <row r="86" ht="15.75" customHeight="1">
      <c r="A86" s="1"/>
      <c r="B86" s="2"/>
      <c r="C86" s="1"/>
      <c r="D86" s="1"/>
      <c r="E86" s="1"/>
      <c r="F86" s="1"/>
      <c r="G86" s="1"/>
      <c r="H86" s="1"/>
    </row>
    <row r="87" ht="15.75" customHeight="1">
      <c r="A87" s="1"/>
      <c r="B87" s="2"/>
      <c r="C87" s="1"/>
      <c r="D87" s="1"/>
      <c r="E87" s="1"/>
      <c r="F87" s="1"/>
      <c r="G87" s="1"/>
      <c r="H87" s="1"/>
    </row>
    <row r="88" ht="15.75" customHeight="1">
      <c r="A88" s="1"/>
      <c r="B88" s="2"/>
      <c r="C88" s="1"/>
      <c r="D88" s="1"/>
      <c r="E88" s="1"/>
      <c r="F88" s="1"/>
      <c r="G88" s="1"/>
      <c r="H88" s="1"/>
    </row>
    <row r="89" ht="15.75" customHeight="1">
      <c r="A89" s="1"/>
      <c r="B89" s="2"/>
      <c r="C89" s="1"/>
      <c r="D89" s="1"/>
      <c r="E89" s="1"/>
      <c r="F89" s="1"/>
      <c r="G89" s="1"/>
      <c r="H89" s="1"/>
    </row>
    <row r="90" ht="15.75" customHeight="1">
      <c r="A90" s="1"/>
      <c r="B90" s="2"/>
      <c r="C90" s="1"/>
      <c r="D90" s="1"/>
      <c r="E90" s="1"/>
      <c r="F90" s="1"/>
      <c r="G90" s="1"/>
      <c r="H90" s="1"/>
    </row>
    <row r="91" ht="15.75" customHeight="1">
      <c r="A91" s="1"/>
      <c r="B91" s="2"/>
      <c r="C91" s="1"/>
      <c r="D91" s="1"/>
      <c r="E91" s="1"/>
      <c r="F91" s="1"/>
      <c r="G91" s="1"/>
      <c r="H91" s="1"/>
    </row>
    <row r="92" ht="15.75" customHeight="1">
      <c r="A92" s="1"/>
      <c r="B92" s="2"/>
      <c r="C92" s="1"/>
      <c r="D92" s="1"/>
      <c r="E92" s="1"/>
      <c r="F92" s="1"/>
      <c r="G92" s="1"/>
      <c r="H92" s="1"/>
    </row>
    <row r="93" ht="15.75" customHeight="1">
      <c r="A93" s="1"/>
      <c r="B93" s="2"/>
      <c r="C93" s="1"/>
      <c r="D93" s="1"/>
      <c r="E93" s="1"/>
      <c r="F93" s="1"/>
      <c r="G93" s="1"/>
      <c r="H93" s="1"/>
    </row>
    <row r="94" ht="15.75" customHeight="1">
      <c r="A94" s="1"/>
      <c r="B94" s="2"/>
      <c r="C94" s="1"/>
      <c r="D94" s="1"/>
      <c r="E94" s="1"/>
      <c r="F94" s="1"/>
      <c r="G94" s="1"/>
      <c r="H94" s="1"/>
    </row>
    <row r="95" ht="15.75" customHeight="1">
      <c r="A95" s="1"/>
      <c r="B95" s="2"/>
      <c r="C95" s="1"/>
      <c r="D95" s="1"/>
      <c r="E95" s="1"/>
      <c r="F95" s="1"/>
      <c r="G95" s="1"/>
      <c r="H95" s="1"/>
    </row>
    <row r="96" ht="15.75" customHeight="1">
      <c r="A96" s="1"/>
      <c r="B96" s="2"/>
      <c r="C96" s="1"/>
      <c r="D96" s="1"/>
      <c r="E96" s="1"/>
      <c r="F96" s="1"/>
      <c r="G96" s="1"/>
      <c r="H96" s="1"/>
    </row>
    <row r="97" ht="15.75" customHeight="1">
      <c r="A97" s="1"/>
      <c r="B97" s="2"/>
      <c r="C97" s="1"/>
      <c r="D97" s="1"/>
      <c r="E97" s="1"/>
      <c r="F97" s="1"/>
      <c r="G97" s="1"/>
      <c r="H97" s="1"/>
    </row>
    <row r="98" ht="15.75" customHeight="1">
      <c r="A98" s="1"/>
      <c r="B98" s="2"/>
      <c r="C98" s="1"/>
      <c r="D98" s="1"/>
      <c r="E98" s="1"/>
      <c r="F98" s="1"/>
      <c r="G98" s="1"/>
      <c r="H98" s="1"/>
    </row>
    <row r="99" ht="15.75" customHeight="1">
      <c r="A99" s="1"/>
      <c r="B99" s="2"/>
      <c r="C99" s="1"/>
      <c r="D99" s="1"/>
      <c r="E99" s="1"/>
      <c r="F99" s="1"/>
      <c r="G99" s="1"/>
      <c r="H99" s="1"/>
    </row>
    <row r="100" ht="15.75" customHeight="1">
      <c r="A100" s="1"/>
      <c r="B100" s="2"/>
      <c r="C100" s="1"/>
      <c r="D100" s="1"/>
      <c r="E100" s="1"/>
      <c r="F100" s="1"/>
      <c r="G100" s="1"/>
      <c r="H100" s="1"/>
    </row>
    <row r="101" ht="15.75" customHeight="1">
      <c r="A101" s="1"/>
      <c r="B101" s="2"/>
      <c r="C101" s="1"/>
      <c r="D101" s="1"/>
      <c r="E101" s="1"/>
      <c r="F101" s="1"/>
      <c r="G101" s="1"/>
      <c r="H101" s="1"/>
    </row>
    <row r="102" ht="15.75" customHeight="1">
      <c r="A102" s="1"/>
      <c r="B102" s="2"/>
      <c r="C102" s="1"/>
      <c r="D102" s="1"/>
      <c r="E102" s="1"/>
      <c r="F102" s="1"/>
      <c r="G102" s="1"/>
      <c r="H102" s="1"/>
    </row>
    <row r="103" ht="15.75" customHeight="1">
      <c r="A103" s="1"/>
      <c r="B103" s="2"/>
      <c r="C103" s="1"/>
      <c r="D103" s="1"/>
      <c r="E103" s="1"/>
      <c r="F103" s="1"/>
      <c r="G103" s="1"/>
      <c r="H103" s="1"/>
    </row>
    <row r="104" ht="15.75" customHeight="1">
      <c r="A104" s="1"/>
      <c r="B104" s="2"/>
      <c r="C104" s="1"/>
      <c r="D104" s="1"/>
      <c r="E104" s="1"/>
      <c r="F104" s="1"/>
      <c r="G104" s="1"/>
      <c r="H104" s="1"/>
    </row>
    <row r="105" ht="15.75" customHeight="1">
      <c r="A105" s="1"/>
      <c r="B105" s="2"/>
      <c r="C105" s="1"/>
      <c r="D105" s="1"/>
      <c r="E105" s="1"/>
      <c r="F105" s="1"/>
      <c r="G105" s="1"/>
      <c r="H105" s="1"/>
    </row>
    <row r="106" ht="15.75" customHeight="1">
      <c r="A106" s="1"/>
      <c r="B106" s="2"/>
      <c r="C106" s="1"/>
      <c r="D106" s="1"/>
      <c r="E106" s="1"/>
      <c r="F106" s="1"/>
      <c r="G106" s="1"/>
      <c r="H106" s="1"/>
    </row>
    <row r="107" ht="15.75" customHeight="1">
      <c r="A107" s="1"/>
      <c r="B107" s="2"/>
      <c r="C107" s="1"/>
      <c r="D107" s="1"/>
      <c r="E107" s="1"/>
      <c r="F107" s="1"/>
      <c r="G107" s="1"/>
      <c r="H107" s="1"/>
    </row>
    <row r="108" ht="15.75" customHeight="1">
      <c r="A108" s="1"/>
      <c r="B108" s="2"/>
      <c r="C108" s="1"/>
      <c r="D108" s="1"/>
      <c r="E108" s="1"/>
      <c r="F108" s="1"/>
      <c r="G108" s="1"/>
      <c r="H108" s="1"/>
    </row>
    <row r="109" ht="15.75" customHeight="1">
      <c r="A109" s="1"/>
      <c r="B109" s="2"/>
      <c r="C109" s="1"/>
      <c r="D109" s="1"/>
      <c r="E109" s="1"/>
      <c r="F109" s="1"/>
      <c r="G109" s="1"/>
      <c r="H109" s="1"/>
    </row>
    <row r="110" ht="15.75" customHeight="1">
      <c r="A110" s="1"/>
      <c r="B110" s="2"/>
      <c r="C110" s="1"/>
      <c r="D110" s="1"/>
      <c r="E110" s="1"/>
      <c r="F110" s="1"/>
      <c r="G110" s="1"/>
      <c r="H110" s="1"/>
    </row>
    <row r="111" ht="15.75" customHeight="1">
      <c r="A111" s="1"/>
      <c r="B111" s="2"/>
      <c r="C111" s="1"/>
      <c r="D111" s="1"/>
      <c r="E111" s="1"/>
      <c r="F111" s="1"/>
      <c r="G111" s="1"/>
      <c r="H111" s="1"/>
    </row>
    <row r="112" ht="15.75" customHeight="1">
      <c r="A112" s="1"/>
      <c r="B112" s="2"/>
      <c r="C112" s="1"/>
      <c r="D112" s="1"/>
      <c r="E112" s="1"/>
      <c r="F112" s="1"/>
      <c r="G112" s="1"/>
      <c r="H112" s="1"/>
    </row>
    <row r="113" ht="15.75" customHeight="1">
      <c r="A113" s="1"/>
      <c r="B113" s="2"/>
      <c r="C113" s="1"/>
      <c r="D113" s="1"/>
      <c r="E113" s="1"/>
      <c r="F113" s="1"/>
      <c r="G113" s="1"/>
      <c r="H113" s="1"/>
    </row>
    <row r="114" ht="15.75" customHeight="1">
      <c r="A114" s="1"/>
      <c r="B114" s="2"/>
      <c r="C114" s="1"/>
      <c r="D114" s="1"/>
      <c r="E114" s="1"/>
      <c r="F114" s="1"/>
      <c r="G114" s="1"/>
      <c r="H114" s="1"/>
    </row>
    <row r="115" ht="15.75" customHeight="1">
      <c r="A115" s="1"/>
      <c r="B115" s="2"/>
      <c r="C115" s="1"/>
      <c r="D115" s="1"/>
      <c r="E115" s="1"/>
      <c r="F115" s="1"/>
      <c r="G115" s="1"/>
      <c r="H115" s="1"/>
    </row>
    <row r="116" ht="15.75" customHeight="1">
      <c r="A116" s="1"/>
      <c r="B116" s="2"/>
      <c r="C116" s="1"/>
      <c r="D116" s="1"/>
      <c r="E116" s="1"/>
      <c r="F116" s="1"/>
      <c r="G116" s="1"/>
      <c r="H116" s="1"/>
    </row>
    <row r="117" ht="15.75" customHeight="1">
      <c r="A117" s="1"/>
      <c r="B117" s="2"/>
      <c r="C117" s="1"/>
      <c r="D117" s="1"/>
      <c r="E117" s="1"/>
      <c r="F117" s="1"/>
      <c r="G117" s="1"/>
      <c r="H117" s="1"/>
    </row>
    <row r="118" ht="15.75" customHeight="1">
      <c r="A118" s="1"/>
      <c r="B118" s="2"/>
      <c r="C118" s="1"/>
      <c r="D118" s="1"/>
      <c r="E118" s="1"/>
      <c r="F118" s="1"/>
      <c r="G118" s="1"/>
      <c r="H118" s="1"/>
    </row>
    <row r="119" ht="15.75" customHeight="1">
      <c r="A119" s="1"/>
      <c r="B119" s="2"/>
      <c r="C119" s="1"/>
      <c r="D119" s="1"/>
      <c r="E119" s="1"/>
      <c r="F119" s="1"/>
      <c r="G119" s="1"/>
      <c r="H119" s="1"/>
    </row>
    <row r="120" ht="15.75" customHeight="1">
      <c r="A120" s="1"/>
      <c r="B120" s="2"/>
      <c r="C120" s="1"/>
      <c r="D120" s="1"/>
      <c r="E120" s="1"/>
      <c r="F120" s="1"/>
      <c r="G120" s="1"/>
      <c r="H120" s="1"/>
    </row>
    <row r="121" ht="15.75" customHeight="1">
      <c r="A121" s="1"/>
      <c r="B121" s="2"/>
      <c r="C121" s="1"/>
      <c r="D121" s="1"/>
      <c r="E121" s="1"/>
      <c r="F121" s="1"/>
      <c r="G121" s="1"/>
      <c r="H121" s="1"/>
    </row>
    <row r="122" ht="15.75" customHeight="1">
      <c r="A122" s="1"/>
      <c r="B122" s="2"/>
      <c r="C122" s="1"/>
      <c r="D122" s="1"/>
      <c r="E122" s="1"/>
      <c r="F122" s="1"/>
      <c r="G122" s="1"/>
      <c r="H122" s="1"/>
    </row>
    <row r="123" ht="15.75" customHeight="1">
      <c r="A123" s="1"/>
      <c r="B123" s="2"/>
      <c r="C123" s="1"/>
      <c r="D123" s="1"/>
      <c r="E123" s="1"/>
      <c r="F123" s="1"/>
      <c r="G123" s="1"/>
      <c r="H123" s="1"/>
    </row>
    <row r="124" ht="15.75" customHeight="1">
      <c r="A124" s="1"/>
      <c r="B124" s="2"/>
      <c r="C124" s="1"/>
      <c r="D124" s="1"/>
      <c r="E124" s="1"/>
      <c r="F124" s="1"/>
      <c r="G124" s="1"/>
      <c r="H124" s="1"/>
    </row>
    <row r="125" ht="15.75" customHeight="1">
      <c r="A125" s="1"/>
      <c r="B125" s="2"/>
      <c r="C125" s="1"/>
      <c r="D125" s="1"/>
      <c r="E125" s="1"/>
      <c r="F125" s="1"/>
      <c r="G125" s="1"/>
      <c r="H125" s="1"/>
    </row>
    <row r="126" ht="15.75" customHeight="1">
      <c r="A126" s="1"/>
      <c r="B126" s="2"/>
      <c r="C126" s="1"/>
      <c r="D126" s="1"/>
      <c r="E126" s="1"/>
      <c r="F126" s="1"/>
      <c r="G126" s="1"/>
      <c r="H126" s="1"/>
    </row>
    <row r="127" ht="15.75" customHeight="1">
      <c r="A127" s="1"/>
      <c r="B127" s="2"/>
      <c r="C127" s="1"/>
      <c r="D127" s="1"/>
      <c r="E127" s="1"/>
      <c r="F127" s="1"/>
      <c r="G127" s="1"/>
      <c r="H127" s="1"/>
    </row>
    <row r="128" ht="15.75" customHeight="1">
      <c r="A128" s="1"/>
      <c r="B128" s="2"/>
      <c r="C128" s="1"/>
      <c r="D128" s="1"/>
      <c r="E128" s="1"/>
      <c r="F128" s="1"/>
      <c r="G128" s="1"/>
      <c r="H128" s="1"/>
    </row>
    <row r="129" ht="15.75" customHeight="1">
      <c r="A129" s="1"/>
      <c r="B129" s="2"/>
      <c r="C129" s="1"/>
      <c r="D129" s="1"/>
      <c r="E129" s="1"/>
      <c r="F129" s="1"/>
      <c r="G129" s="1"/>
      <c r="H129" s="1"/>
    </row>
    <row r="130" ht="15.75" customHeight="1">
      <c r="A130" s="1"/>
      <c r="B130" s="2"/>
      <c r="C130" s="1"/>
      <c r="D130" s="1"/>
      <c r="E130" s="1"/>
      <c r="F130" s="1"/>
      <c r="G130" s="1"/>
      <c r="H130" s="1"/>
    </row>
    <row r="131" ht="15.75" customHeight="1">
      <c r="A131" s="1"/>
      <c r="B131" s="2"/>
      <c r="C131" s="1"/>
      <c r="D131" s="1"/>
      <c r="E131" s="1"/>
      <c r="F131" s="1"/>
      <c r="G131" s="1"/>
      <c r="H131" s="1"/>
    </row>
    <row r="132" ht="15.75" customHeight="1">
      <c r="A132" s="1"/>
      <c r="B132" s="2"/>
      <c r="C132" s="1"/>
      <c r="D132" s="1"/>
      <c r="E132" s="1"/>
      <c r="F132" s="1"/>
      <c r="G132" s="1"/>
      <c r="H132" s="1"/>
    </row>
    <row r="133" ht="15.75" customHeight="1">
      <c r="A133" s="1"/>
      <c r="B133" s="2"/>
      <c r="C133" s="1"/>
      <c r="D133" s="1"/>
      <c r="E133" s="1"/>
      <c r="F133" s="1"/>
      <c r="G133" s="1"/>
      <c r="H133" s="1"/>
    </row>
    <row r="134" ht="15.75" customHeight="1">
      <c r="A134" s="1"/>
      <c r="B134" s="2"/>
      <c r="C134" s="1"/>
      <c r="D134" s="1"/>
      <c r="E134" s="1"/>
      <c r="F134" s="1"/>
      <c r="G134" s="1"/>
      <c r="H134" s="1"/>
    </row>
    <row r="135" ht="15.75" customHeight="1">
      <c r="A135" s="1"/>
      <c r="B135" s="2"/>
      <c r="C135" s="1"/>
      <c r="D135" s="1"/>
      <c r="E135" s="1"/>
      <c r="F135" s="1"/>
      <c r="G135" s="1"/>
      <c r="H135" s="1"/>
    </row>
    <row r="136" ht="15.75" customHeight="1">
      <c r="A136" s="1"/>
      <c r="B136" s="2"/>
      <c r="C136" s="1"/>
      <c r="D136" s="1"/>
      <c r="E136" s="1"/>
      <c r="F136" s="1"/>
      <c r="G136" s="1"/>
      <c r="H136" s="1"/>
    </row>
    <row r="137" ht="15.75" customHeight="1">
      <c r="A137" s="1"/>
      <c r="B137" s="2"/>
      <c r="C137" s="1"/>
      <c r="D137" s="1"/>
      <c r="E137" s="1"/>
      <c r="F137" s="1"/>
      <c r="G137" s="1"/>
      <c r="H137" s="1"/>
    </row>
    <row r="138" ht="15.75" customHeight="1">
      <c r="A138" s="1"/>
      <c r="B138" s="2"/>
      <c r="C138" s="1"/>
      <c r="D138" s="1"/>
      <c r="E138" s="1"/>
      <c r="F138" s="1"/>
      <c r="G138" s="1"/>
      <c r="H138" s="1"/>
    </row>
    <row r="139" ht="15.75" customHeight="1">
      <c r="A139" s="1"/>
      <c r="B139" s="2"/>
      <c r="C139" s="1"/>
      <c r="D139" s="1"/>
      <c r="E139" s="1"/>
      <c r="F139" s="1"/>
      <c r="G139" s="1"/>
      <c r="H139" s="1"/>
    </row>
    <row r="140" ht="15.75" customHeight="1">
      <c r="A140" s="1"/>
      <c r="B140" s="2"/>
      <c r="C140" s="1"/>
      <c r="D140" s="1"/>
      <c r="E140" s="1"/>
      <c r="F140" s="1"/>
      <c r="G140" s="1"/>
      <c r="H140" s="1"/>
    </row>
    <row r="141" ht="15.75" customHeight="1">
      <c r="A141" s="1"/>
      <c r="B141" s="2"/>
      <c r="C141" s="1"/>
      <c r="D141" s="1"/>
      <c r="E141" s="1"/>
      <c r="F141" s="1"/>
      <c r="G141" s="1"/>
      <c r="H141" s="1"/>
    </row>
    <row r="142" ht="15.75" customHeight="1">
      <c r="A142" s="1"/>
      <c r="B142" s="2"/>
      <c r="C142" s="1"/>
      <c r="D142" s="1"/>
      <c r="E142" s="1"/>
      <c r="F142" s="1"/>
      <c r="G142" s="1"/>
      <c r="H142" s="1"/>
    </row>
    <row r="143" ht="15.75" customHeight="1">
      <c r="A143" s="1"/>
      <c r="B143" s="2"/>
      <c r="C143" s="1"/>
      <c r="D143" s="1"/>
      <c r="E143" s="1"/>
      <c r="F143" s="1"/>
      <c r="G143" s="1"/>
      <c r="H143" s="1"/>
    </row>
    <row r="144" ht="15.75" customHeight="1">
      <c r="A144" s="1"/>
      <c r="B144" s="2"/>
      <c r="C144" s="1"/>
      <c r="D144" s="1"/>
      <c r="E144" s="1"/>
      <c r="F144" s="1"/>
      <c r="G144" s="1"/>
      <c r="H144" s="1"/>
    </row>
    <row r="145" ht="15.75" customHeight="1">
      <c r="A145" s="1"/>
      <c r="B145" s="2"/>
      <c r="C145" s="1"/>
      <c r="D145" s="1"/>
      <c r="E145" s="1"/>
      <c r="F145" s="1"/>
      <c r="G145" s="1"/>
      <c r="H145" s="1"/>
    </row>
    <row r="146" ht="15.75" customHeight="1">
      <c r="A146" s="1"/>
      <c r="B146" s="2"/>
      <c r="C146" s="1"/>
      <c r="D146" s="1"/>
      <c r="E146" s="1"/>
      <c r="F146" s="1"/>
      <c r="G146" s="1"/>
      <c r="H146" s="1"/>
    </row>
    <row r="147" ht="15.75" customHeight="1">
      <c r="A147" s="1"/>
      <c r="B147" s="2"/>
      <c r="C147" s="1"/>
      <c r="D147" s="1"/>
      <c r="E147" s="1"/>
      <c r="F147" s="1"/>
      <c r="G147" s="1"/>
      <c r="H147" s="1"/>
    </row>
    <row r="148" ht="15.75" customHeight="1">
      <c r="A148" s="1"/>
      <c r="B148" s="2"/>
      <c r="C148" s="1"/>
      <c r="D148" s="1"/>
      <c r="E148" s="1"/>
      <c r="F148" s="1"/>
      <c r="G148" s="1"/>
      <c r="H148" s="1"/>
    </row>
    <row r="149" ht="15.75" customHeight="1">
      <c r="A149" s="1"/>
      <c r="B149" s="2"/>
      <c r="C149" s="1"/>
      <c r="D149" s="1"/>
      <c r="E149" s="1"/>
      <c r="F149" s="1"/>
      <c r="G149" s="1"/>
      <c r="H149" s="1"/>
    </row>
    <row r="150" ht="15.75" customHeight="1">
      <c r="A150" s="1"/>
      <c r="B150" s="2"/>
      <c r="C150" s="1"/>
      <c r="D150" s="1"/>
      <c r="E150" s="1"/>
      <c r="F150" s="1"/>
      <c r="G150" s="1"/>
      <c r="H150" s="1"/>
    </row>
    <row r="151" ht="15.75" customHeight="1">
      <c r="A151" s="1"/>
      <c r="B151" s="2"/>
      <c r="C151" s="1"/>
      <c r="D151" s="1"/>
      <c r="E151" s="1"/>
      <c r="F151" s="1"/>
      <c r="G151" s="1"/>
      <c r="H151" s="1"/>
    </row>
    <row r="152" ht="15.75" customHeight="1">
      <c r="A152" s="1"/>
      <c r="B152" s="2"/>
      <c r="C152" s="1"/>
      <c r="D152" s="1"/>
      <c r="E152" s="1"/>
      <c r="F152" s="1"/>
      <c r="G152" s="1"/>
      <c r="H152" s="1"/>
    </row>
    <row r="153" ht="15.75" customHeight="1">
      <c r="A153" s="1"/>
      <c r="B153" s="2"/>
      <c r="C153" s="1"/>
      <c r="D153" s="1"/>
      <c r="E153" s="1"/>
      <c r="F153" s="1"/>
      <c r="G153" s="1"/>
      <c r="H153" s="1"/>
    </row>
    <row r="154" ht="15.75" customHeight="1">
      <c r="A154" s="1"/>
      <c r="B154" s="2"/>
      <c r="C154" s="1"/>
      <c r="D154" s="1"/>
      <c r="E154" s="1"/>
      <c r="F154" s="1"/>
      <c r="G154" s="1"/>
      <c r="H154" s="1"/>
    </row>
    <row r="155" ht="15.75" customHeight="1">
      <c r="A155" s="1"/>
      <c r="B155" s="2"/>
      <c r="C155" s="1"/>
      <c r="D155" s="1"/>
      <c r="E155" s="1"/>
      <c r="F155" s="1"/>
      <c r="G155" s="1"/>
      <c r="H155" s="1"/>
    </row>
    <row r="156" ht="15.75" customHeight="1">
      <c r="A156" s="1"/>
      <c r="B156" s="2"/>
      <c r="C156" s="1"/>
      <c r="D156" s="1"/>
      <c r="E156" s="1"/>
      <c r="F156" s="1"/>
      <c r="G156" s="1"/>
      <c r="H156" s="1"/>
    </row>
    <row r="157" ht="15.75" customHeight="1">
      <c r="A157" s="1"/>
      <c r="B157" s="2"/>
      <c r="C157" s="1"/>
      <c r="D157" s="1"/>
      <c r="E157" s="1"/>
      <c r="F157" s="1"/>
      <c r="G157" s="1"/>
      <c r="H157" s="1"/>
    </row>
    <row r="158" ht="15.75" customHeight="1">
      <c r="A158" s="1"/>
      <c r="B158" s="2"/>
      <c r="C158" s="1"/>
      <c r="D158" s="1"/>
      <c r="E158" s="1"/>
      <c r="F158" s="1"/>
      <c r="G158" s="1"/>
      <c r="H158" s="1"/>
    </row>
    <row r="159" ht="15.75" customHeight="1">
      <c r="A159" s="1"/>
      <c r="B159" s="2"/>
      <c r="C159" s="1"/>
      <c r="D159" s="1"/>
      <c r="E159" s="1"/>
      <c r="F159" s="1"/>
      <c r="G159" s="1"/>
      <c r="H159" s="1"/>
    </row>
    <row r="160" ht="15.75" customHeight="1">
      <c r="A160" s="1"/>
      <c r="B160" s="2"/>
      <c r="C160" s="1"/>
      <c r="D160" s="1"/>
      <c r="E160" s="1"/>
      <c r="F160" s="1"/>
      <c r="G160" s="1"/>
      <c r="H160" s="1"/>
    </row>
    <row r="161" ht="15.75" customHeight="1">
      <c r="A161" s="1"/>
      <c r="B161" s="2"/>
      <c r="C161" s="1"/>
      <c r="D161" s="1"/>
      <c r="E161" s="1"/>
      <c r="F161" s="1"/>
      <c r="G161" s="1"/>
      <c r="H161" s="1"/>
    </row>
    <row r="162" ht="15.75" customHeight="1">
      <c r="A162" s="1"/>
      <c r="B162" s="2"/>
      <c r="C162" s="1"/>
      <c r="D162" s="1"/>
      <c r="E162" s="1"/>
      <c r="F162" s="1"/>
      <c r="G162" s="1"/>
      <c r="H162" s="1"/>
    </row>
    <row r="163" ht="15.75" customHeight="1">
      <c r="A163" s="1"/>
      <c r="B163" s="2"/>
      <c r="C163" s="1"/>
      <c r="D163" s="1"/>
      <c r="E163" s="1"/>
      <c r="F163" s="1"/>
      <c r="G163" s="1"/>
      <c r="H163" s="1"/>
    </row>
    <row r="164" ht="15.75" customHeight="1">
      <c r="A164" s="1"/>
      <c r="B164" s="2"/>
      <c r="C164" s="1"/>
      <c r="D164" s="1"/>
      <c r="E164" s="1"/>
      <c r="F164" s="1"/>
      <c r="G164" s="1"/>
      <c r="H164" s="1"/>
    </row>
    <row r="165" ht="15.75" customHeight="1">
      <c r="A165" s="1"/>
      <c r="B165" s="2"/>
      <c r="C165" s="1"/>
      <c r="D165" s="1"/>
      <c r="E165" s="1"/>
      <c r="F165" s="1"/>
      <c r="G165" s="1"/>
      <c r="H165" s="1"/>
    </row>
    <row r="166" ht="15.75" customHeight="1">
      <c r="A166" s="1"/>
      <c r="B166" s="2"/>
      <c r="C166" s="1"/>
      <c r="D166" s="1"/>
      <c r="E166" s="1"/>
      <c r="F166" s="1"/>
      <c r="G166" s="1"/>
      <c r="H166" s="1"/>
    </row>
    <row r="167" ht="15.75" customHeight="1">
      <c r="A167" s="1"/>
      <c r="B167" s="2"/>
      <c r="C167" s="1"/>
      <c r="D167" s="1"/>
      <c r="E167" s="1"/>
      <c r="F167" s="1"/>
      <c r="G167" s="1"/>
      <c r="H167" s="1"/>
    </row>
    <row r="168" ht="15.75" customHeight="1">
      <c r="A168" s="1"/>
      <c r="B168" s="2"/>
      <c r="C168" s="1"/>
      <c r="D168" s="1"/>
      <c r="E168" s="1"/>
      <c r="F168" s="1"/>
      <c r="G168" s="1"/>
      <c r="H168" s="1"/>
    </row>
    <row r="169" ht="15.75" customHeight="1">
      <c r="A169" s="1"/>
      <c r="B169" s="2"/>
      <c r="C169" s="1"/>
      <c r="D169" s="1"/>
      <c r="E169" s="1"/>
      <c r="F169" s="1"/>
      <c r="G169" s="1"/>
      <c r="H169" s="1"/>
    </row>
    <row r="170" ht="15.75" customHeight="1">
      <c r="A170" s="1"/>
      <c r="B170" s="2"/>
      <c r="C170" s="1"/>
      <c r="D170" s="1"/>
      <c r="E170" s="1"/>
      <c r="F170" s="1"/>
      <c r="G170" s="1"/>
      <c r="H170" s="1"/>
    </row>
    <row r="171" ht="15.75" customHeight="1">
      <c r="A171" s="1"/>
      <c r="B171" s="2"/>
      <c r="C171" s="1"/>
      <c r="D171" s="1"/>
      <c r="E171" s="1"/>
      <c r="F171" s="1"/>
      <c r="G171" s="1"/>
      <c r="H171" s="1"/>
    </row>
    <row r="172" ht="15.75" customHeight="1">
      <c r="A172" s="1"/>
      <c r="B172" s="2"/>
      <c r="C172" s="1"/>
      <c r="D172" s="1"/>
      <c r="E172" s="1"/>
      <c r="F172" s="1"/>
      <c r="G172" s="1"/>
      <c r="H172" s="1"/>
    </row>
    <row r="173" ht="15.75" customHeight="1">
      <c r="A173" s="1"/>
      <c r="B173" s="2"/>
      <c r="C173" s="1"/>
      <c r="D173" s="1"/>
      <c r="E173" s="1"/>
      <c r="F173" s="1"/>
      <c r="G173" s="1"/>
      <c r="H173" s="1"/>
    </row>
    <row r="174" ht="15.75" customHeight="1">
      <c r="A174" s="1"/>
      <c r="B174" s="2"/>
      <c r="C174" s="1"/>
      <c r="D174" s="1"/>
      <c r="E174" s="1"/>
      <c r="F174" s="1"/>
      <c r="G174" s="1"/>
      <c r="H174" s="1"/>
    </row>
    <row r="175" ht="15.75" customHeight="1">
      <c r="A175" s="1"/>
      <c r="B175" s="2"/>
      <c r="C175" s="1"/>
      <c r="D175" s="1"/>
      <c r="E175" s="1"/>
      <c r="F175" s="1"/>
      <c r="G175" s="1"/>
      <c r="H175" s="1"/>
    </row>
    <row r="176" ht="15.75" customHeight="1">
      <c r="A176" s="1"/>
      <c r="B176" s="2"/>
      <c r="C176" s="1"/>
      <c r="D176" s="1"/>
      <c r="E176" s="1"/>
      <c r="F176" s="1"/>
      <c r="G176" s="1"/>
      <c r="H176" s="1"/>
    </row>
    <row r="177" ht="15.75" customHeight="1">
      <c r="A177" s="1"/>
      <c r="B177" s="2"/>
      <c r="C177" s="1"/>
      <c r="D177" s="1"/>
      <c r="E177" s="1"/>
      <c r="F177" s="1"/>
      <c r="G177" s="1"/>
      <c r="H177" s="1"/>
    </row>
    <row r="178" ht="15.75" customHeight="1">
      <c r="A178" s="1"/>
      <c r="B178" s="2"/>
      <c r="C178" s="1"/>
      <c r="D178" s="1"/>
      <c r="E178" s="1"/>
      <c r="F178" s="1"/>
      <c r="G178" s="1"/>
      <c r="H178" s="1"/>
    </row>
    <row r="179" ht="15.75" customHeight="1">
      <c r="A179" s="1"/>
      <c r="B179" s="2"/>
      <c r="C179" s="1"/>
      <c r="D179" s="1"/>
      <c r="E179" s="1"/>
      <c r="F179" s="1"/>
      <c r="G179" s="1"/>
      <c r="H179" s="1"/>
    </row>
    <row r="180" ht="15.75" customHeight="1">
      <c r="A180" s="1"/>
      <c r="B180" s="2"/>
      <c r="C180" s="1"/>
      <c r="D180" s="1"/>
      <c r="E180" s="1"/>
      <c r="F180" s="1"/>
      <c r="G180" s="1"/>
      <c r="H180" s="1"/>
    </row>
    <row r="181" ht="15.75" customHeight="1">
      <c r="A181" s="1"/>
      <c r="B181" s="2"/>
      <c r="C181" s="1"/>
      <c r="D181" s="1"/>
      <c r="E181" s="1"/>
      <c r="F181" s="1"/>
      <c r="G181" s="1"/>
      <c r="H181" s="1"/>
    </row>
    <row r="182" ht="15.75" customHeight="1">
      <c r="A182" s="1"/>
      <c r="B182" s="2"/>
      <c r="C182" s="1"/>
      <c r="D182" s="1"/>
      <c r="E182" s="1"/>
      <c r="F182" s="1"/>
      <c r="G182" s="1"/>
      <c r="H182" s="1"/>
    </row>
    <row r="183" ht="15.75" customHeight="1">
      <c r="A183" s="1"/>
      <c r="B183" s="2"/>
      <c r="C183" s="1"/>
      <c r="D183" s="1"/>
      <c r="E183" s="1"/>
      <c r="F183" s="1"/>
      <c r="G183" s="1"/>
      <c r="H183" s="1"/>
    </row>
    <row r="184" ht="15.75" customHeight="1">
      <c r="A184" s="1"/>
      <c r="B184" s="2"/>
      <c r="C184" s="1"/>
      <c r="D184" s="1"/>
      <c r="E184" s="1"/>
      <c r="F184" s="1"/>
      <c r="G184" s="1"/>
      <c r="H184" s="1"/>
    </row>
    <row r="185" ht="15.75" customHeight="1">
      <c r="A185" s="1"/>
      <c r="B185" s="2"/>
      <c r="C185" s="1"/>
      <c r="D185" s="1"/>
      <c r="E185" s="1"/>
      <c r="F185" s="1"/>
      <c r="G185" s="1"/>
      <c r="H185" s="1"/>
    </row>
    <row r="186" ht="15.75" customHeight="1">
      <c r="A186" s="1"/>
      <c r="B186" s="2"/>
      <c r="C186" s="1"/>
      <c r="D186" s="1"/>
      <c r="E186" s="1"/>
      <c r="F186" s="1"/>
      <c r="G186" s="1"/>
      <c r="H186" s="1"/>
    </row>
    <row r="187" ht="15.75" customHeight="1">
      <c r="A187" s="1"/>
      <c r="B187" s="2"/>
      <c r="C187" s="1"/>
      <c r="D187" s="1"/>
      <c r="E187" s="1"/>
      <c r="F187" s="1"/>
      <c r="G187" s="1"/>
      <c r="H187" s="1"/>
    </row>
    <row r="188" ht="15.75" customHeight="1">
      <c r="A188" s="1"/>
      <c r="B188" s="2"/>
      <c r="C188" s="1"/>
      <c r="D188" s="1"/>
      <c r="E188" s="1"/>
      <c r="F188" s="1"/>
      <c r="G188" s="1"/>
      <c r="H188" s="1"/>
    </row>
    <row r="189" ht="15.75" customHeight="1">
      <c r="A189" s="1"/>
      <c r="B189" s="2"/>
      <c r="C189" s="1"/>
      <c r="D189" s="1"/>
      <c r="E189" s="1"/>
      <c r="F189" s="1"/>
      <c r="G189" s="1"/>
      <c r="H189" s="1"/>
    </row>
    <row r="190" ht="15.75" customHeight="1">
      <c r="A190" s="1"/>
      <c r="B190" s="2"/>
      <c r="C190" s="1"/>
      <c r="D190" s="1"/>
      <c r="E190" s="1"/>
      <c r="F190" s="1"/>
      <c r="G190" s="1"/>
      <c r="H190" s="1"/>
    </row>
    <row r="191" ht="15.75" customHeight="1">
      <c r="A191" s="1"/>
      <c r="B191" s="2"/>
      <c r="C191" s="1"/>
      <c r="D191" s="1"/>
      <c r="E191" s="1"/>
      <c r="F191" s="1"/>
      <c r="G191" s="1"/>
      <c r="H191" s="1"/>
    </row>
    <row r="192" ht="15.75" customHeight="1">
      <c r="A192" s="1"/>
      <c r="B192" s="2"/>
      <c r="C192" s="1"/>
      <c r="D192" s="1"/>
      <c r="E192" s="1"/>
      <c r="F192" s="1"/>
      <c r="G192" s="1"/>
      <c r="H192" s="1"/>
    </row>
    <row r="193" ht="15.75" customHeight="1">
      <c r="A193" s="1"/>
      <c r="B193" s="2"/>
      <c r="C193" s="1"/>
      <c r="D193" s="1"/>
      <c r="E193" s="1"/>
      <c r="F193" s="1"/>
      <c r="G193" s="1"/>
      <c r="H193" s="1"/>
    </row>
    <row r="194" ht="15.75" customHeight="1">
      <c r="A194" s="1"/>
      <c r="B194" s="2"/>
      <c r="C194" s="1"/>
      <c r="D194" s="1"/>
      <c r="E194" s="1"/>
      <c r="F194" s="1"/>
      <c r="G194" s="1"/>
      <c r="H194" s="1"/>
    </row>
    <row r="195" ht="15.75" customHeight="1">
      <c r="A195" s="1"/>
      <c r="B195" s="2"/>
      <c r="C195" s="1"/>
      <c r="D195" s="1"/>
      <c r="E195" s="1"/>
      <c r="F195" s="1"/>
      <c r="G195" s="1"/>
      <c r="H195" s="1"/>
    </row>
    <row r="196" ht="15.75" customHeight="1">
      <c r="A196" s="1"/>
      <c r="B196" s="2"/>
      <c r="C196" s="1"/>
      <c r="D196" s="1"/>
      <c r="E196" s="1"/>
      <c r="F196" s="1"/>
      <c r="G196" s="1"/>
      <c r="H196" s="1"/>
    </row>
    <row r="197" ht="15.75" customHeight="1">
      <c r="A197" s="1"/>
      <c r="B197" s="2"/>
      <c r="C197" s="1"/>
      <c r="D197" s="1"/>
      <c r="E197" s="1"/>
      <c r="F197" s="1"/>
      <c r="G197" s="1"/>
      <c r="H197" s="1"/>
    </row>
    <row r="198" ht="15.75" customHeight="1">
      <c r="A198" s="1"/>
      <c r="B198" s="2"/>
      <c r="C198" s="1"/>
      <c r="D198" s="1"/>
      <c r="E198" s="1"/>
      <c r="F198" s="1"/>
      <c r="G198" s="1"/>
      <c r="H198" s="1"/>
    </row>
    <row r="199" ht="15.75" customHeight="1">
      <c r="A199" s="1"/>
      <c r="B199" s="2"/>
      <c r="C199" s="1"/>
      <c r="D199" s="1"/>
      <c r="E199" s="1"/>
      <c r="F199" s="1"/>
      <c r="G199" s="1"/>
      <c r="H199" s="1"/>
    </row>
    <row r="200" ht="15.75" customHeight="1">
      <c r="A200" s="1"/>
      <c r="B200" s="2"/>
      <c r="C200" s="1"/>
      <c r="D200" s="1"/>
      <c r="E200" s="1"/>
      <c r="F200" s="1"/>
      <c r="G200" s="1"/>
      <c r="H200" s="1"/>
    </row>
    <row r="201" ht="15.75" customHeight="1">
      <c r="A201" s="1"/>
      <c r="B201" s="2"/>
      <c r="C201" s="1"/>
      <c r="D201" s="1"/>
      <c r="E201" s="1"/>
      <c r="F201" s="1"/>
      <c r="G201" s="1"/>
      <c r="H201" s="1"/>
    </row>
    <row r="202" ht="15.75" customHeight="1">
      <c r="A202" s="1"/>
      <c r="B202" s="2"/>
      <c r="C202" s="1"/>
      <c r="D202" s="1"/>
      <c r="E202" s="1"/>
      <c r="F202" s="1"/>
      <c r="G202" s="1"/>
      <c r="H202" s="1"/>
    </row>
    <row r="203" ht="15.75" customHeight="1">
      <c r="A203" s="1"/>
      <c r="B203" s="2"/>
      <c r="C203" s="1"/>
      <c r="D203" s="1"/>
      <c r="E203" s="1"/>
      <c r="F203" s="1"/>
      <c r="G203" s="1"/>
      <c r="H203" s="1"/>
    </row>
    <row r="204" ht="15.75" customHeight="1">
      <c r="A204" s="1"/>
      <c r="B204" s="2"/>
      <c r="C204" s="1"/>
      <c r="D204" s="1"/>
      <c r="E204" s="1"/>
      <c r="F204" s="1"/>
      <c r="G204" s="1"/>
      <c r="H204" s="1"/>
    </row>
    <row r="205" ht="15.75" customHeight="1">
      <c r="A205" s="1"/>
      <c r="B205" s="2"/>
      <c r="C205" s="1"/>
      <c r="D205" s="1"/>
      <c r="E205" s="1"/>
      <c r="F205" s="1"/>
      <c r="G205" s="1"/>
      <c r="H205" s="1"/>
    </row>
    <row r="206" ht="15.75" customHeight="1">
      <c r="A206" s="1"/>
      <c r="B206" s="2"/>
      <c r="C206" s="1"/>
      <c r="D206" s="1"/>
      <c r="E206" s="1"/>
      <c r="F206" s="1"/>
      <c r="G206" s="1"/>
      <c r="H206" s="1"/>
    </row>
    <row r="207" ht="15.75" customHeight="1">
      <c r="A207" s="1"/>
      <c r="B207" s="2"/>
      <c r="C207" s="1"/>
      <c r="D207" s="1"/>
      <c r="E207" s="1"/>
      <c r="F207" s="1"/>
      <c r="G207" s="1"/>
      <c r="H207" s="1"/>
    </row>
    <row r="208" ht="15.75" customHeight="1">
      <c r="A208" s="1"/>
      <c r="B208" s="2"/>
      <c r="C208" s="1"/>
      <c r="D208" s="1"/>
      <c r="E208" s="1"/>
      <c r="F208" s="1"/>
      <c r="G208" s="1"/>
      <c r="H208" s="1"/>
    </row>
    <row r="209" ht="15.75" customHeight="1">
      <c r="A209" s="1"/>
      <c r="B209" s="2"/>
      <c r="C209" s="1"/>
      <c r="D209" s="1"/>
      <c r="E209" s="1"/>
      <c r="F209" s="1"/>
      <c r="G209" s="1"/>
      <c r="H209" s="1"/>
    </row>
    <row r="210" ht="15.75" customHeight="1">
      <c r="A210" s="1"/>
      <c r="B210" s="2"/>
      <c r="C210" s="1"/>
      <c r="D210" s="1"/>
      <c r="E210" s="1"/>
      <c r="F210" s="1"/>
      <c r="G210" s="1"/>
      <c r="H210" s="1"/>
    </row>
    <row r="211" ht="15.75" customHeight="1">
      <c r="A211" s="1"/>
      <c r="B211" s="2"/>
      <c r="C211" s="1"/>
      <c r="D211" s="1"/>
      <c r="E211" s="1"/>
      <c r="F211" s="1"/>
      <c r="G211" s="1"/>
      <c r="H211" s="1"/>
    </row>
    <row r="212" ht="15.75" customHeight="1">
      <c r="A212" s="1"/>
      <c r="B212" s="2"/>
      <c r="C212" s="1"/>
      <c r="D212" s="1"/>
      <c r="E212" s="1"/>
      <c r="F212" s="1"/>
      <c r="G212" s="1"/>
      <c r="H212" s="1"/>
    </row>
    <row r="213" ht="15.75" customHeight="1">
      <c r="A213" s="1"/>
      <c r="B213" s="2"/>
      <c r="C213" s="1"/>
      <c r="D213" s="1"/>
      <c r="E213" s="1"/>
      <c r="F213" s="1"/>
      <c r="G213" s="1"/>
      <c r="H213" s="1"/>
    </row>
    <row r="214" ht="15.75" customHeight="1">
      <c r="A214" s="1"/>
      <c r="B214" s="2"/>
      <c r="C214" s="1"/>
      <c r="D214" s="1"/>
      <c r="E214" s="1"/>
      <c r="F214" s="1"/>
      <c r="G214" s="1"/>
      <c r="H214" s="1"/>
    </row>
    <row r="215" ht="15.75" customHeight="1">
      <c r="A215" s="1"/>
      <c r="B215" s="2"/>
      <c r="C215" s="1"/>
      <c r="D215" s="1"/>
      <c r="E215" s="1"/>
      <c r="F215" s="1"/>
      <c r="G215" s="1"/>
      <c r="H215" s="1"/>
    </row>
    <row r="216" ht="15.75" customHeight="1">
      <c r="A216" s="1"/>
      <c r="B216" s="2"/>
      <c r="C216" s="1"/>
      <c r="D216" s="1"/>
      <c r="E216" s="1"/>
      <c r="F216" s="1"/>
      <c r="G216" s="1"/>
      <c r="H216" s="1"/>
    </row>
    <row r="217" ht="15.75" customHeight="1">
      <c r="A217" s="1"/>
      <c r="B217" s="2"/>
      <c r="C217" s="1"/>
      <c r="D217" s="1"/>
      <c r="E217" s="1"/>
      <c r="F217" s="1"/>
      <c r="G217" s="1"/>
      <c r="H217" s="1"/>
    </row>
    <row r="218" ht="15.75" customHeight="1">
      <c r="A218" s="1"/>
      <c r="B218" s="2"/>
      <c r="C218" s="1"/>
      <c r="D218" s="1"/>
      <c r="E218" s="1"/>
      <c r="F218" s="1"/>
      <c r="G218" s="1"/>
      <c r="H218" s="1"/>
    </row>
    <row r="219" ht="15.75" customHeight="1">
      <c r="A219" s="1"/>
      <c r="B219" s="2"/>
      <c r="C219" s="1"/>
      <c r="D219" s="1"/>
      <c r="E219" s="1"/>
      <c r="F219" s="1"/>
      <c r="G219" s="1"/>
      <c r="H219" s="1"/>
    </row>
    <row r="220" ht="15.75" customHeight="1">
      <c r="A220" s="1"/>
      <c r="B220" s="2"/>
      <c r="C220" s="1"/>
      <c r="D220" s="1"/>
      <c r="E220" s="1"/>
      <c r="F220" s="1"/>
      <c r="G220" s="1"/>
      <c r="H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1" width="13.57"/>
    <col customWidth="1" min="2" max="2" width="29.71"/>
    <col customWidth="1" min="3" max="3" width="146.71"/>
    <col customWidth="1" min="4" max="4" width="29.43"/>
    <col customWidth="1" min="5" max="5" width="46.43"/>
    <col customWidth="1" min="6" max="6" width="26.29"/>
    <col customWidth="1" min="7" max="26" width="13.57"/>
  </cols>
  <sheetData>
    <row r="1" ht="18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1"/>
      <c r="B2" s="5" t="s">
        <v>1</v>
      </c>
      <c r="C2" s="6" t="s">
        <v>2</v>
      </c>
      <c r="D2" s="1"/>
      <c r="E2" s="1"/>
      <c r="F2" s="1"/>
      <c r="G2" s="1"/>
      <c r="H2" s="1"/>
      <c r="I2" s="1"/>
      <c r="J2" s="1"/>
      <c r="K2" s="1"/>
      <c r="L2" s="1"/>
      <c r="M2" s="1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75" customHeight="1">
      <c r="A3" s="1"/>
      <c r="B3" s="5" t="s">
        <v>3</v>
      </c>
      <c r="C3" s="7" t="s">
        <v>4</v>
      </c>
      <c r="D3" s="1"/>
      <c r="E3" s="1"/>
      <c r="F3" s="1"/>
      <c r="G3" s="1"/>
      <c r="H3" s="1"/>
      <c r="I3" s="1"/>
      <c r="J3" s="1"/>
      <c r="K3" s="1"/>
      <c r="L3" s="1"/>
      <c r="M3" s="1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8.75" customHeight="1">
      <c r="A4" s="1"/>
      <c r="B4" s="5" t="s">
        <v>5</v>
      </c>
      <c r="C4" s="6" t="s">
        <v>6</v>
      </c>
      <c r="D4" s="1"/>
      <c r="E4" s="1"/>
      <c r="F4" s="1"/>
      <c r="G4" s="1"/>
      <c r="H4" s="1"/>
      <c r="I4" s="1"/>
      <c r="J4" s="1"/>
      <c r="K4" s="1"/>
      <c r="L4" s="1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8.75" customHeight="1">
      <c r="A5" s="1"/>
      <c r="B5" s="5" t="s">
        <v>7</v>
      </c>
      <c r="C5" s="6" t="s">
        <v>8</v>
      </c>
      <c r="D5" s="1"/>
      <c r="E5" s="4"/>
      <c r="F5" s="1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8.75" customHeight="1">
      <c r="A6" s="1"/>
      <c r="B6" s="1"/>
      <c r="C6" s="1"/>
      <c r="D6" s="1"/>
      <c r="E6" s="1"/>
      <c r="F6" s="1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8.75" customHeight="1">
      <c r="A7" s="1"/>
      <c r="B7" s="5" t="s">
        <v>1</v>
      </c>
      <c r="C7" s="6" t="s">
        <v>9</v>
      </c>
      <c r="D7" s="1"/>
      <c r="E7" s="1"/>
      <c r="F7" s="1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8.75" customHeight="1">
      <c r="A8" s="1"/>
      <c r="B8" s="5" t="s">
        <v>3</v>
      </c>
      <c r="C8" s="7" t="s">
        <v>10</v>
      </c>
      <c r="D8" s="1"/>
      <c r="E8" s="1"/>
      <c r="F8" s="1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8.75" customHeight="1">
      <c r="A9" s="1"/>
      <c r="B9" s="5" t="s">
        <v>5</v>
      </c>
      <c r="C9" s="6" t="s">
        <v>11</v>
      </c>
      <c r="D9" s="1"/>
      <c r="E9" s="1"/>
      <c r="F9" s="1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8.75" customHeight="1">
      <c r="A10" s="1"/>
      <c r="B10" s="8" t="s">
        <v>7</v>
      </c>
      <c r="C10" s="6" t="s">
        <v>12</v>
      </c>
      <c r="D10" s="1"/>
      <c r="E10" s="1"/>
      <c r="F10" s="1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8.75" customHeight="1">
      <c r="A11" s="1"/>
      <c r="B11" s="1"/>
      <c r="C11" s="1"/>
      <c r="D11" s="1"/>
      <c r="E11" s="1"/>
      <c r="F11" s="1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8.75" customHeight="1">
      <c r="A12" s="1"/>
      <c r="B12" s="5" t="s">
        <v>1</v>
      </c>
      <c r="C12" s="6" t="s">
        <v>13</v>
      </c>
      <c r="D12" s="1"/>
      <c r="E12" s="1"/>
      <c r="F12" s="1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8.75" customHeight="1">
      <c r="A13" s="1"/>
      <c r="B13" s="5" t="s">
        <v>3</v>
      </c>
      <c r="C13" s="9" t="s">
        <v>14</v>
      </c>
      <c r="D13" s="1"/>
      <c r="E13" s="1"/>
      <c r="F13" s="1"/>
      <c r="G13" s="1"/>
      <c r="H13" s="1"/>
      <c r="I13" s="1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8.75" customHeight="1">
      <c r="A14" s="1"/>
      <c r="B14" s="10" t="s">
        <v>5</v>
      </c>
      <c r="C14" s="11" t="s">
        <v>15</v>
      </c>
      <c r="D14" s="1"/>
      <c r="E14" s="1"/>
      <c r="F14" s="1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8.75" customHeight="1">
      <c r="A15" s="1"/>
      <c r="B15" s="12" t="s">
        <v>7</v>
      </c>
      <c r="C15" s="6" t="s">
        <v>16</v>
      </c>
      <c r="D15" s="1"/>
      <c r="E15" s="1"/>
      <c r="F15" s="1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8.75" customHeight="1">
      <c r="A16" s="1"/>
      <c r="B16" s="1"/>
      <c r="C16" s="4"/>
      <c r="D16" s="1"/>
      <c r="E16" s="1"/>
      <c r="F16" s="1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8.75" customHeight="1">
      <c r="A17" s="1"/>
      <c r="B17" s="5" t="s">
        <v>1</v>
      </c>
      <c r="C17" s="6" t="s">
        <v>17</v>
      </c>
      <c r="D17" s="1"/>
      <c r="E17" s="1"/>
      <c r="F17" s="1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8.75" customHeight="1">
      <c r="A18" s="1"/>
      <c r="B18" s="5" t="s">
        <v>3</v>
      </c>
      <c r="C18" s="7" t="s">
        <v>18</v>
      </c>
      <c r="D18" s="1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8.75" customHeight="1">
      <c r="A19" s="1"/>
      <c r="B19" s="5" t="s">
        <v>5</v>
      </c>
      <c r="C19" s="13" t="s">
        <v>19</v>
      </c>
      <c r="D19" s="1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8.75" customHeight="1">
      <c r="A20" s="1"/>
      <c r="B20" s="5" t="s">
        <v>7</v>
      </c>
      <c r="C20" s="13" t="s">
        <v>16</v>
      </c>
      <c r="D20" s="1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8.75" customHeight="1">
      <c r="A21" s="1"/>
      <c r="B21" s="14"/>
      <c r="C21" s="4"/>
      <c r="D21" s="1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8.75" customHeight="1">
      <c r="A22" s="1"/>
      <c r="B22" s="5" t="s">
        <v>1</v>
      </c>
      <c r="C22" s="6" t="s">
        <v>20</v>
      </c>
      <c r="D22" s="1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8.75" customHeight="1">
      <c r="A23" s="1"/>
      <c r="B23" s="5" t="s">
        <v>3</v>
      </c>
      <c r="C23" s="15" t="s">
        <v>21</v>
      </c>
      <c r="D23" s="1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8.75" customHeight="1">
      <c r="A24" s="1"/>
      <c r="B24" s="10" t="s">
        <v>5</v>
      </c>
      <c r="C24" s="11" t="s">
        <v>22</v>
      </c>
      <c r="D24" s="1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8.75" customHeight="1">
      <c r="A25" s="1"/>
      <c r="B25" s="16"/>
      <c r="C25" s="17" t="s">
        <v>23</v>
      </c>
      <c r="D25" s="1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8.75" customHeight="1">
      <c r="A26" s="1"/>
      <c r="B26" s="18"/>
      <c r="C26" s="13" t="s">
        <v>24</v>
      </c>
      <c r="D26" s="1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8.75" customHeight="1">
      <c r="A27" s="1"/>
      <c r="B27" s="5" t="s">
        <v>7</v>
      </c>
      <c r="C27" s="13" t="s">
        <v>25</v>
      </c>
      <c r="D27" s="1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8.75" customHeight="1">
      <c r="A28" s="1"/>
      <c r="B28" s="1"/>
      <c r="C28" s="1"/>
      <c r="D28" s="1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8.75" customHeight="1">
      <c r="A29" s="1"/>
      <c r="B29" s="5" t="s">
        <v>1</v>
      </c>
      <c r="C29" s="6" t="s">
        <v>26</v>
      </c>
      <c r="D29" s="1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8.75" customHeight="1">
      <c r="A30" s="1"/>
      <c r="B30" s="5" t="s">
        <v>3</v>
      </c>
      <c r="C30" s="15" t="s">
        <v>27</v>
      </c>
      <c r="D30" s="1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8.75" customHeight="1">
      <c r="A31" s="1"/>
      <c r="B31" s="5" t="s">
        <v>5</v>
      </c>
      <c r="C31" s="6" t="s">
        <v>28</v>
      </c>
      <c r="D31" s="1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8.75" customHeight="1">
      <c r="A32" s="1"/>
      <c r="B32" s="5" t="s">
        <v>7</v>
      </c>
      <c r="C32" s="13" t="s">
        <v>16</v>
      </c>
      <c r="D32" s="1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8.75" customHeight="1">
      <c r="A33" s="1"/>
      <c r="B33" s="1"/>
      <c r="C33" s="13"/>
      <c r="D33" s="1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8.75" customHeight="1">
      <c r="A34" s="1"/>
      <c r="B34" s="5" t="s">
        <v>1</v>
      </c>
      <c r="C34" s="6" t="s">
        <v>29</v>
      </c>
      <c r="D34" s="1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8.75" customHeight="1">
      <c r="A35" s="1"/>
      <c r="B35" s="5" t="s">
        <v>3</v>
      </c>
      <c r="C35" s="15" t="s">
        <v>30</v>
      </c>
      <c r="D35" s="1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8.75" customHeight="1">
      <c r="A36" s="1"/>
      <c r="B36" s="5" t="s">
        <v>5</v>
      </c>
      <c r="C36" s="6" t="s">
        <v>31</v>
      </c>
      <c r="D36" s="1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8.75" customHeight="1">
      <c r="A37" s="1"/>
      <c r="B37" s="5" t="s">
        <v>7</v>
      </c>
      <c r="C37" s="13" t="s">
        <v>16</v>
      </c>
      <c r="D37" s="1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8.75" customHeight="1">
      <c r="A38" s="1"/>
      <c r="B38" s="1"/>
      <c r="C38" s="1"/>
      <c r="D38" s="1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8.75" customHeight="1">
      <c r="A39" s="1"/>
      <c r="B39" s="5" t="s">
        <v>1</v>
      </c>
      <c r="C39" s="6" t="s">
        <v>32</v>
      </c>
      <c r="D39" s="1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8.75" customHeight="1">
      <c r="A40" s="1"/>
      <c r="B40" s="5" t="s">
        <v>3</v>
      </c>
      <c r="C40" s="15" t="s">
        <v>33</v>
      </c>
      <c r="D40" s="1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8.75" customHeight="1">
      <c r="A41" s="1"/>
      <c r="B41" s="5" t="s">
        <v>5</v>
      </c>
      <c r="C41" s="6" t="s">
        <v>34</v>
      </c>
      <c r="D41" s="1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8.75" customHeight="1">
      <c r="A42" s="1"/>
      <c r="B42" s="5" t="s">
        <v>7</v>
      </c>
      <c r="C42" s="6" t="s">
        <v>12</v>
      </c>
      <c r="D42" s="1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8.75" customHeight="1">
      <c r="A43" s="1"/>
      <c r="B43" s="1"/>
      <c r="C43" s="1"/>
      <c r="D43" s="1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8.75" customHeight="1">
      <c r="A44" s="1"/>
      <c r="B44" s="5" t="s">
        <v>1</v>
      </c>
      <c r="C44" s="6" t="s">
        <v>35</v>
      </c>
      <c r="D44" s="1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8.75" customHeight="1">
      <c r="A45" s="1"/>
      <c r="B45" s="5" t="s">
        <v>3</v>
      </c>
      <c r="C45" s="15" t="s">
        <v>36</v>
      </c>
      <c r="D45" s="1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8.75" customHeight="1">
      <c r="A46" s="1"/>
      <c r="B46" s="19" t="s">
        <v>5</v>
      </c>
      <c r="C46" s="20" t="s">
        <v>37</v>
      </c>
      <c r="D46" s="1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8.75" customHeight="1">
      <c r="A47" s="1"/>
      <c r="B47" s="21"/>
      <c r="C47" s="22" t="s">
        <v>38</v>
      </c>
      <c r="D47" s="1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8.75" customHeight="1">
      <c r="A48" s="1"/>
      <c r="B48" s="5" t="s">
        <v>7</v>
      </c>
      <c r="C48" s="13" t="s">
        <v>16</v>
      </c>
      <c r="D48" s="1"/>
      <c r="E48" s="4"/>
      <c r="F48" s="4" t="s">
        <v>39</v>
      </c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8.75" customHeight="1">
      <c r="A49" s="1"/>
      <c r="B49" s="1"/>
      <c r="C49" s="1"/>
      <c r="D49" s="1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8.75" customHeight="1">
      <c r="A50" s="1"/>
      <c r="B50" s="5" t="s">
        <v>1</v>
      </c>
      <c r="C50" s="6" t="s">
        <v>40</v>
      </c>
      <c r="D50" s="1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8.75" customHeight="1">
      <c r="A51" s="1"/>
      <c r="B51" s="5" t="s">
        <v>3</v>
      </c>
      <c r="C51" s="15" t="s">
        <v>41</v>
      </c>
      <c r="D51" s="1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8.75" customHeight="1">
      <c r="A52" s="1"/>
      <c r="B52" s="5" t="s">
        <v>5</v>
      </c>
      <c r="C52" s="6" t="s">
        <v>42</v>
      </c>
      <c r="D52" s="1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8.75" customHeight="1">
      <c r="A53" s="1"/>
      <c r="B53" s="5" t="s">
        <v>7</v>
      </c>
      <c r="C53" s="6" t="s">
        <v>12</v>
      </c>
      <c r="D53" s="1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8.75" customHeight="1">
      <c r="A54" s="1"/>
      <c r="B54" s="1"/>
      <c r="C54" s="1"/>
      <c r="D54" s="1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8.75" customHeight="1">
      <c r="A55" s="1"/>
      <c r="B55" s="5" t="s">
        <v>1</v>
      </c>
      <c r="C55" s="6" t="s">
        <v>43</v>
      </c>
      <c r="D55" s="1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8.75" customHeight="1">
      <c r="A56" s="1"/>
      <c r="B56" s="5" t="s">
        <v>3</v>
      </c>
      <c r="C56" s="15" t="s">
        <v>44</v>
      </c>
      <c r="D56" s="1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8.75" customHeight="1">
      <c r="A57" s="1"/>
      <c r="B57" s="10" t="s">
        <v>5</v>
      </c>
      <c r="C57" s="11" t="s">
        <v>45</v>
      </c>
      <c r="D57" s="1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8.75" customHeight="1">
      <c r="A58" s="1"/>
      <c r="B58" s="16"/>
      <c r="C58" s="13" t="s">
        <v>46</v>
      </c>
      <c r="D58" s="1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8.75" customHeight="1">
      <c r="A59" s="1"/>
      <c r="B59" s="5" t="s">
        <v>7</v>
      </c>
      <c r="C59" s="6" t="s">
        <v>12</v>
      </c>
      <c r="D59" s="1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8.75" customHeight="1">
      <c r="A60" s="1"/>
      <c r="B60" s="1"/>
      <c r="C60" s="1"/>
      <c r="D60" s="1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8.75" customHeight="1">
      <c r="A61" s="1"/>
      <c r="B61" s="5" t="s">
        <v>1</v>
      </c>
      <c r="C61" s="6" t="s">
        <v>47</v>
      </c>
      <c r="D61" s="1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8.75" customHeight="1">
      <c r="A62" s="1"/>
      <c r="B62" s="5" t="s">
        <v>3</v>
      </c>
      <c r="C62" s="15" t="s">
        <v>48</v>
      </c>
      <c r="D62" s="1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8.75" customHeight="1">
      <c r="A63" s="1"/>
      <c r="B63" s="10" t="s">
        <v>5</v>
      </c>
      <c r="C63" s="11" t="s">
        <v>49</v>
      </c>
      <c r="D63" s="1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8.75" customHeight="1">
      <c r="A64" s="1"/>
      <c r="B64" s="5" t="s">
        <v>7</v>
      </c>
      <c r="C64" s="6" t="s">
        <v>12</v>
      </c>
      <c r="D64" s="1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8.75" customHeight="1">
      <c r="A65" s="1"/>
      <c r="B65" s="1"/>
      <c r="C65" s="1"/>
      <c r="D65" s="1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8.75" customHeight="1">
      <c r="A66" s="1"/>
      <c r="B66" s="5" t="s">
        <v>1</v>
      </c>
      <c r="C66" s="6" t="s">
        <v>50</v>
      </c>
      <c r="D66" s="1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8.75" customHeight="1">
      <c r="A67" s="1"/>
      <c r="B67" s="5" t="s">
        <v>3</v>
      </c>
      <c r="C67" s="15" t="s">
        <v>51</v>
      </c>
      <c r="D67" s="1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8.75" customHeight="1">
      <c r="A68" s="1"/>
      <c r="B68" s="5" t="s">
        <v>5</v>
      </c>
      <c r="C68" s="6" t="s">
        <v>52</v>
      </c>
      <c r="D68" s="1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8.75" customHeight="1">
      <c r="A69" s="1"/>
      <c r="B69" s="5" t="s">
        <v>7</v>
      </c>
      <c r="C69" s="13" t="s">
        <v>16</v>
      </c>
      <c r="D69" s="1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8.75" customHeight="1">
      <c r="A70" s="1"/>
      <c r="B70" s="1"/>
      <c r="C70" s="1"/>
      <c r="D70" s="1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8.75" customHeight="1">
      <c r="A71" s="1"/>
      <c r="B71" s="5" t="s">
        <v>1</v>
      </c>
      <c r="C71" s="6" t="s">
        <v>53</v>
      </c>
      <c r="D71" s="1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8.75" customHeight="1">
      <c r="A72" s="1"/>
      <c r="B72" s="5" t="s">
        <v>3</v>
      </c>
      <c r="C72" s="15" t="s">
        <v>54</v>
      </c>
      <c r="D72" s="1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8.75" customHeight="1">
      <c r="A73" s="1"/>
      <c r="B73" s="5" t="s">
        <v>5</v>
      </c>
      <c r="C73" s="6" t="s">
        <v>55</v>
      </c>
      <c r="D73" s="1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8.75" customHeight="1">
      <c r="A74" s="1"/>
      <c r="B74" s="5" t="s">
        <v>7</v>
      </c>
      <c r="C74" s="6" t="s">
        <v>12</v>
      </c>
      <c r="D74" s="1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8.75" customHeight="1">
      <c r="A75" s="1"/>
      <c r="B75" s="1"/>
      <c r="C75" s="4"/>
      <c r="D75" s="1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8.75" customHeight="1">
      <c r="A76" s="1"/>
      <c r="B76" s="5" t="s">
        <v>1</v>
      </c>
      <c r="C76" s="6" t="s">
        <v>56</v>
      </c>
      <c r="D76" s="1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8.75" customHeight="1">
      <c r="A77" s="1"/>
      <c r="B77" s="10" t="s">
        <v>3</v>
      </c>
      <c r="C77" s="15" t="s">
        <v>57</v>
      </c>
      <c r="D77" s="1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8.75" customHeight="1">
      <c r="A78" s="1"/>
      <c r="B78" s="16"/>
      <c r="C78" s="23" t="s">
        <v>58</v>
      </c>
      <c r="D78" s="1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8.75" customHeight="1">
      <c r="A79" s="1"/>
      <c r="B79" s="16"/>
      <c r="C79" s="24" t="s">
        <v>59</v>
      </c>
      <c r="D79" s="1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8.75" customHeight="1">
      <c r="A80" s="1"/>
      <c r="B80" s="5" t="s">
        <v>5</v>
      </c>
      <c r="C80" s="6" t="s">
        <v>60</v>
      </c>
      <c r="D80" s="1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8.75" customHeight="1">
      <c r="A81" s="1"/>
      <c r="B81" s="5" t="s">
        <v>7</v>
      </c>
      <c r="C81" s="13" t="s">
        <v>16</v>
      </c>
      <c r="D81" s="1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8.75" customHeight="1">
      <c r="A82" s="1"/>
      <c r="B82" s="1"/>
      <c r="C82" s="1"/>
      <c r="D82" s="1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8.75" customHeight="1">
      <c r="A83" s="1"/>
      <c r="B83" s="1"/>
      <c r="C83" s="1"/>
      <c r="D83" s="1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8.75" customHeight="1">
      <c r="A84" s="1"/>
      <c r="B84" s="1"/>
      <c r="C84" s="1"/>
      <c r="D84" s="1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8.75" customHeight="1">
      <c r="A85" s="1"/>
      <c r="B85" s="1"/>
      <c r="C85" s="1"/>
      <c r="D85" s="1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8.75" customHeight="1">
      <c r="A86" s="1"/>
      <c r="B86" s="1"/>
      <c r="C86" s="1"/>
      <c r="D86" s="1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8.75" customHeight="1">
      <c r="A87" s="1"/>
      <c r="B87" s="1"/>
      <c r="C87" s="1"/>
      <c r="D87" s="1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8.75" customHeight="1">
      <c r="A88" s="1"/>
      <c r="B88" s="1"/>
      <c r="C88" s="1"/>
      <c r="D88" s="1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8.75" customHeight="1">
      <c r="A89" s="1"/>
      <c r="B89" s="1"/>
      <c r="C89" s="1"/>
      <c r="D89" s="1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8.75" customHeight="1">
      <c r="A90" s="1"/>
      <c r="B90" s="1"/>
      <c r="C90" s="1"/>
      <c r="D90" s="1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8.75" customHeight="1">
      <c r="A91" s="1"/>
      <c r="B91" s="1"/>
      <c r="C91" s="1"/>
      <c r="D91" s="1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8.75" customHeight="1">
      <c r="A92" s="1"/>
      <c r="B92" s="1"/>
      <c r="C92" s="4"/>
      <c r="D92" s="1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8.75" customHeight="1">
      <c r="A93" s="1"/>
      <c r="B93" s="1"/>
      <c r="C93" s="4"/>
      <c r="D93" s="1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8.75" customHeight="1">
      <c r="A94" s="1"/>
      <c r="B94" s="1"/>
      <c r="C94" s="4"/>
      <c r="D94" s="1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8.75" customHeight="1">
      <c r="A95" s="1"/>
      <c r="B95" s="1"/>
      <c r="C95" s="4"/>
      <c r="D95" s="1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8.75" customHeight="1">
      <c r="A96" s="1"/>
      <c r="B96" s="1"/>
      <c r="C96" s="4"/>
      <c r="D96" s="1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8.75" customHeight="1">
      <c r="A97" s="1"/>
      <c r="B97" s="1"/>
      <c r="C97" s="4"/>
      <c r="D97" s="1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8.75" customHeight="1">
      <c r="A98" s="1"/>
      <c r="B98" s="1"/>
      <c r="C98" s="4"/>
      <c r="D98" s="1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8.75" customHeight="1">
      <c r="A99" s="1"/>
      <c r="B99" s="1"/>
      <c r="C99" s="4"/>
      <c r="D99" s="1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8.75" customHeight="1">
      <c r="A100" s="1"/>
      <c r="B100" s="1"/>
      <c r="C100" s="4"/>
      <c r="D100" s="1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8.75" customHeight="1">
      <c r="A101" s="1"/>
      <c r="B101" s="1"/>
      <c r="C101" s="4"/>
      <c r="D101" s="1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8.75" customHeight="1">
      <c r="A102" s="1"/>
      <c r="B102" s="1"/>
      <c r="C102" s="4"/>
      <c r="D102" s="1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8.75" customHeight="1">
      <c r="A103" s="1"/>
      <c r="B103" s="1"/>
      <c r="C103" s="4"/>
      <c r="D103" s="1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8.75" customHeight="1">
      <c r="A104" s="1"/>
      <c r="B104" s="1"/>
      <c r="C104" s="4"/>
      <c r="D104" s="1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8.75" customHeight="1">
      <c r="A105" s="1"/>
      <c r="B105" s="1"/>
      <c r="C105" s="4"/>
      <c r="D105" s="1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8.75" customHeight="1">
      <c r="A106" s="1"/>
      <c r="B106" s="1"/>
      <c r="C106" s="4"/>
      <c r="D106" s="1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8.75" customHeight="1">
      <c r="A107" s="1"/>
      <c r="B107" s="1"/>
      <c r="C107" s="4"/>
      <c r="D107" s="1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8.75" customHeight="1">
      <c r="A108" s="1"/>
      <c r="B108" s="1"/>
      <c r="C108" s="4"/>
      <c r="D108" s="1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8.75" customHeight="1">
      <c r="A109" s="1"/>
      <c r="B109" s="1"/>
      <c r="C109" s="4"/>
      <c r="D109" s="1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8.75" customHeight="1">
      <c r="A110" s="1"/>
      <c r="B110" s="1"/>
      <c r="C110" s="4"/>
      <c r="D110" s="1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8.75" customHeight="1">
      <c r="A111" s="1"/>
      <c r="B111" s="1"/>
      <c r="C111" s="4"/>
      <c r="D111" s="1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8.75" customHeight="1">
      <c r="A112" s="1"/>
      <c r="B112" s="1"/>
      <c r="C112" s="4"/>
      <c r="D112" s="1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8.75" customHeight="1">
      <c r="A113" s="1"/>
      <c r="B113" s="1"/>
      <c r="C113" s="4"/>
      <c r="D113" s="1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8.75" customHeight="1">
      <c r="A114" s="1"/>
      <c r="B114" s="1"/>
      <c r="C114" s="4"/>
      <c r="D114" s="1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8.75" customHeight="1">
      <c r="A115" s="1"/>
      <c r="B115" s="1"/>
      <c r="C115" s="4"/>
      <c r="D115" s="1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8.75" customHeight="1">
      <c r="A116" s="1"/>
      <c r="B116" s="1"/>
      <c r="C116" s="4"/>
      <c r="D116" s="1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8.75" customHeight="1">
      <c r="A117" s="1"/>
      <c r="B117" s="1"/>
      <c r="C117" s="4"/>
      <c r="D117" s="1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8.75" customHeight="1">
      <c r="A118" s="1"/>
      <c r="B118" s="1"/>
      <c r="C118" s="4"/>
      <c r="D118" s="1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8.75" customHeight="1">
      <c r="A119" s="1"/>
      <c r="B119" s="1"/>
      <c r="C119" s="4"/>
      <c r="D119" s="1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8.75" customHeight="1">
      <c r="A120" s="1"/>
      <c r="B120" s="1"/>
      <c r="C120" s="4"/>
      <c r="D120" s="1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8.75" customHeight="1">
      <c r="A121" s="1"/>
      <c r="B121" s="1"/>
      <c r="C121" s="4"/>
      <c r="D121" s="1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8.75" customHeight="1">
      <c r="A122" s="1"/>
      <c r="B122" s="1"/>
      <c r="C122" s="4"/>
      <c r="D122" s="1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8.75" customHeight="1">
      <c r="A123" s="1"/>
      <c r="B123" s="1"/>
      <c r="C123" s="4"/>
      <c r="D123" s="1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8.75" customHeight="1">
      <c r="A124" s="1"/>
      <c r="B124" s="1"/>
      <c r="C124" s="4"/>
      <c r="D124" s="1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8.75" customHeight="1">
      <c r="A125" s="1"/>
      <c r="B125" s="1"/>
      <c r="C125" s="4"/>
      <c r="D125" s="1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8.75" customHeight="1">
      <c r="A126" s="1"/>
      <c r="B126" s="1"/>
      <c r="C126" s="4"/>
      <c r="D126" s="1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8.75" customHeight="1">
      <c r="A127" s="1"/>
      <c r="B127" s="1"/>
      <c r="C127" s="4"/>
      <c r="D127" s="1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8.75" customHeight="1">
      <c r="A128" s="1"/>
      <c r="B128" s="1"/>
      <c r="C128" s="4"/>
      <c r="D128" s="1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8.75" customHeight="1">
      <c r="A129" s="1"/>
      <c r="B129" s="1"/>
      <c r="C129" s="4"/>
      <c r="D129" s="1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8.75" customHeight="1">
      <c r="A130" s="1"/>
      <c r="B130" s="1"/>
      <c r="C130" s="4"/>
      <c r="D130" s="1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8.75" customHeight="1">
      <c r="A131" s="1"/>
      <c r="B131" s="1"/>
      <c r="C131" s="4"/>
      <c r="D131" s="1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8.75" customHeight="1">
      <c r="A132" s="1"/>
      <c r="B132" s="1"/>
      <c r="C132" s="4"/>
      <c r="D132" s="1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8.75" customHeight="1">
      <c r="A133" s="1"/>
      <c r="B133" s="1"/>
      <c r="C133" s="4"/>
      <c r="D133" s="1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8.75" customHeight="1">
      <c r="A134" s="1"/>
      <c r="B134" s="1"/>
      <c r="C134" s="4"/>
      <c r="D134" s="1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8.75" customHeight="1">
      <c r="A135" s="1"/>
      <c r="B135" s="1"/>
      <c r="C135" s="4"/>
      <c r="D135" s="1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8.75" customHeight="1">
      <c r="A136" s="1"/>
      <c r="B136" s="1"/>
      <c r="C136" s="4"/>
      <c r="D136" s="1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8.75" customHeight="1">
      <c r="A137" s="1"/>
      <c r="B137" s="1"/>
      <c r="C137" s="4"/>
      <c r="D137" s="1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8.75" customHeight="1">
      <c r="A138" s="1"/>
      <c r="B138" s="1"/>
      <c r="C138" s="4"/>
      <c r="D138" s="1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8.75" customHeight="1">
      <c r="A139" s="1"/>
      <c r="B139" s="1"/>
      <c r="C139" s="4"/>
      <c r="D139" s="1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8.75" customHeight="1">
      <c r="A140" s="1"/>
      <c r="B140" s="1"/>
      <c r="C140" s="4"/>
      <c r="D140" s="1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8.75" customHeight="1">
      <c r="A141" s="1"/>
      <c r="B141" s="1"/>
      <c r="C141" s="4"/>
      <c r="D141" s="1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8.75" customHeight="1">
      <c r="A142" s="1"/>
      <c r="B142" s="1"/>
      <c r="C142" s="4"/>
      <c r="D142" s="1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8.75" customHeight="1">
      <c r="A143" s="1"/>
      <c r="B143" s="1"/>
      <c r="C143" s="4"/>
      <c r="D143" s="1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8.75" customHeight="1">
      <c r="A144" s="1"/>
      <c r="B144" s="1"/>
      <c r="C144" s="4"/>
      <c r="D144" s="1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8.75" customHeight="1">
      <c r="A145" s="1"/>
      <c r="B145" s="1"/>
      <c r="C145" s="4"/>
      <c r="D145" s="1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8.75" customHeight="1">
      <c r="A146" s="1"/>
      <c r="B146" s="1"/>
      <c r="C146" s="4"/>
      <c r="D146" s="1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8.75" customHeight="1">
      <c r="A147" s="1"/>
      <c r="B147" s="1"/>
      <c r="C147" s="4"/>
      <c r="D147" s="1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8.75" customHeight="1">
      <c r="A148" s="1"/>
      <c r="B148" s="1"/>
      <c r="C148" s="4"/>
      <c r="D148" s="1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8.75" customHeight="1">
      <c r="A149" s="1"/>
      <c r="B149" s="1"/>
      <c r="C149" s="4"/>
      <c r="D149" s="1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8.75" customHeight="1">
      <c r="A150" s="1"/>
      <c r="B150" s="1"/>
      <c r="C150" s="4"/>
      <c r="D150" s="1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8.75" customHeight="1">
      <c r="A151" s="1"/>
      <c r="B151" s="1"/>
      <c r="C151" s="4"/>
      <c r="D151" s="1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8.75" customHeight="1">
      <c r="A152" s="1"/>
      <c r="B152" s="1"/>
      <c r="C152" s="4"/>
      <c r="D152" s="1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8.75" customHeight="1">
      <c r="A153" s="1"/>
      <c r="B153" s="1"/>
      <c r="C153" s="4"/>
      <c r="D153" s="1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8.75" customHeight="1">
      <c r="A154" s="1"/>
      <c r="B154" s="1"/>
      <c r="C154" s="4"/>
      <c r="D154" s="1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8.75" customHeight="1">
      <c r="A155" s="1"/>
      <c r="B155" s="1"/>
      <c r="C155" s="4"/>
      <c r="D155" s="1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8.75" customHeight="1">
      <c r="A156" s="1"/>
      <c r="B156" s="1"/>
      <c r="C156" s="4"/>
      <c r="D156" s="1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8.75" customHeight="1">
      <c r="A157" s="1"/>
      <c r="B157" s="1"/>
      <c r="C157" s="4"/>
      <c r="D157" s="1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8.75" customHeight="1">
      <c r="A158" s="1"/>
      <c r="B158" s="1"/>
      <c r="C158" s="4"/>
      <c r="D158" s="1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8.75" customHeight="1">
      <c r="A159" s="1"/>
      <c r="B159" s="1"/>
      <c r="C159" s="4"/>
      <c r="D159" s="1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8.75" customHeight="1">
      <c r="A160" s="1"/>
      <c r="B160" s="1"/>
      <c r="C160" s="4"/>
      <c r="D160" s="1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8.75" customHeight="1">
      <c r="A161" s="1"/>
      <c r="B161" s="1"/>
      <c r="C161" s="4"/>
      <c r="D161" s="1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8.75" customHeight="1">
      <c r="A162" s="1"/>
      <c r="B162" s="1"/>
      <c r="C162" s="4"/>
      <c r="D162" s="1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8.75" customHeight="1">
      <c r="A163" s="1"/>
      <c r="B163" s="1"/>
      <c r="C163" s="4"/>
      <c r="D163" s="1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8.75" customHeight="1">
      <c r="A164" s="1"/>
      <c r="B164" s="1"/>
      <c r="C164" s="4"/>
      <c r="D164" s="1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8.75" customHeight="1">
      <c r="A165" s="1"/>
      <c r="B165" s="1"/>
      <c r="C165" s="4"/>
      <c r="D165" s="1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8.75" customHeight="1">
      <c r="A166" s="1"/>
      <c r="B166" s="1"/>
      <c r="C166" s="4"/>
      <c r="D166" s="1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8.75" customHeight="1">
      <c r="A167" s="1"/>
      <c r="B167" s="1"/>
      <c r="C167" s="4"/>
      <c r="D167" s="1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8.75" customHeight="1">
      <c r="A168" s="1"/>
      <c r="B168" s="1"/>
      <c r="C168" s="4"/>
      <c r="D168" s="1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8.75" customHeight="1">
      <c r="A169" s="1"/>
      <c r="B169" s="1"/>
      <c r="C169" s="4"/>
      <c r="D169" s="1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8.75" customHeight="1">
      <c r="A170" s="1"/>
      <c r="B170" s="1"/>
      <c r="C170" s="4"/>
      <c r="D170" s="1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8.75" customHeight="1">
      <c r="A171" s="1"/>
      <c r="B171" s="1"/>
      <c r="C171" s="4"/>
      <c r="D171" s="1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8.75" customHeight="1">
      <c r="A172" s="1"/>
      <c r="B172" s="1"/>
      <c r="C172" s="4"/>
      <c r="D172" s="1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8.75" customHeight="1">
      <c r="A173" s="1"/>
      <c r="B173" s="1"/>
      <c r="C173" s="4"/>
      <c r="D173" s="1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8.75" customHeight="1">
      <c r="A174" s="1"/>
      <c r="B174" s="1"/>
      <c r="C174" s="4"/>
      <c r="D174" s="1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8.75" customHeight="1">
      <c r="A175" s="1"/>
      <c r="B175" s="1"/>
      <c r="C175" s="4"/>
      <c r="D175" s="1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8.75" customHeight="1">
      <c r="A176" s="1"/>
      <c r="B176" s="1"/>
      <c r="C176" s="4"/>
      <c r="D176" s="1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8.75" customHeight="1">
      <c r="A177" s="1"/>
      <c r="B177" s="1"/>
      <c r="C177" s="4"/>
      <c r="D177" s="1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8.75" customHeight="1">
      <c r="A178" s="1"/>
      <c r="B178" s="1"/>
      <c r="C178" s="4"/>
      <c r="D178" s="1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8.75" customHeight="1">
      <c r="A179" s="1"/>
      <c r="B179" s="1"/>
      <c r="C179" s="4"/>
      <c r="D179" s="1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8.75" customHeight="1">
      <c r="A180" s="1"/>
      <c r="B180" s="1"/>
      <c r="C180" s="4"/>
      <c r="D180" s="1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8.75" customHeight="1">
      <c r="A181" s="1"/>
      <c r="B181" s="1"/>
      <c r="C181" s="4"/>
      <c r="D181" s="1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8.75" customHeight="1">
      <c r="A182" s="1"/>
      <c r="B182" s="1"/>
      <c r="C182" s="4"/>
      <c r="D182" s="1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8.75" customHeight="1">
      <c r="A183" s="1"/>
      <c r="B183" s="1"/>
      <c r="C183" s="4"/>
      <c r="D183" s="1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8.75" customHeight="1">
      <c r="A184" s="1"/>
      <c r="B184" s="1"/>
      <c r="C184" s="4"/>
      <c r="D184" s="1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8.75" customHeight="1">
      <c r="A185" s="1"/>
      <c r="B185" s="1"/>
      <c r="C185" s="4"/>
      <c r="D185" s="1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8.75" customHeight="1">
      <c r="A186" s="1"/>
      <c r="B186" s="1"/>
      <c r="C186" s="4"/>
      <c r="D186" s="1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8.75" customHeight="1">
      <c r="A187" s="1"/>
      <c r="B187" s="1"/>
      <c r="C187" s="4"/>
      <c r="D187" s="1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8.75" customHeight="1">
      <c r="A188" s="1"/>
      <c r="B188" s="1"/>
      <c r="C188" s="4"/>
      <c r="D188" s="1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8.75" customHeight="1">
      <c r="A189" s="1"/>
      <c r="B189" s="1"/>
      <c r="C189" s="4"/>
      <c r="D189" s="1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8.75" customHeight="1">
      <c r="A190" s="1"/>
      <c r="B190" s="1"/>
      <c r="C190" s="4"/>
      <c r="D190" s="1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8.75" customHeight="1">
      <c r="A191" s="1"/>
      <c r="B191" s="1"/>
      <c r="C191" s="4"/>
      <c r="D191" s="1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8.75" customHeight="1">
      <c r="A192" s="1"/>
      <c r="B192" s="1"/>
      <c r="C192" s="4"/>
      <c r="D192" s="1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8.75" customHeight="1">
      <c r="A193" s="1"/>
      <c r="B193" s="1"/>
      <c r="C193" s="4"/>
      <c r="D193" s="1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8.75" customHeight="1">
      <c r="A194" s="1"/>
      <c r="B194" s="1"/>
      <c r="C194" s="4"/>
      <c r="D194" s="1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8.75" customHeight="1">
      <c r="A195" s="1"/>
      <c r="B195" s="1"/>
      <c r="C195" s="4"/>
      <c r="D195" s="1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8.75" customHeight="1">
      <c r="A196" s="1"/>
      <c r="B196" s="1"/>
      <c r="C196" s="4"/>
      <c r="D196" s="1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8.75" customHeight="1">
      <c r="A197" s="1"/>
      <c r="B197" s="1"/>
      <c r="C197" s="4"/>
      <c r="D197" s="1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8.75" customHeight="1">
      <c r="A198" s="1"/>
      <c r="B198" s="1"/>
      <c r="C198" s="4"/>
      <c r="D198" s="1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8.75" customHeight="1">
      <c r="A199" s="1"/>
      <c r="B199" s="1"/>
      <c r="C199" s="4"/>
      <c r="D199" s="1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8.75" customHeight="1">
      <c r="A200" s="1"/>
      <c r="B200" s="1"/>
      <c r="C200" s="4"/>
      <c r="D200" s="1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8.75" customHeight="1">
      <c r="A201" s="1"/>
      <c r="B201" s="1"/>
      <c r="C201" s="4"/>
      <c r="D201" s="1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8.75" customHeight="1">
      <c r="A202" s="1"/>
      <c r="B202" s="1"/>
      <c r="C202" s="4"/>
      <c r="D202" s="1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8.75" customHeight="1">
      <c r="A203" s="1"/>
      <c r="B203" s="1"/>
      <c r="C203" s="4"/>
      <c r="D203" s="1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8.75" customHeight="1">
      <c r="A204" s="1"/>
      <c r="B204" s="1"/>
      <c r="C204" s="4"/>
      <c r="D204" s="1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8.75" customHeight="1">
      <c r="A205" s="1"/>
      <c r="B205" s="1"/>
      <c r="C205" s="4"/>
      <c r="D205" s="1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8.75" customHeight="1">
      <c r="A206" s="1"/>
      <c r="B206" s="1"/>
      <c r="C206" s="4"/>
      <c r="D206" s="1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8.75" customHeight="1">
      <c r="A207" s="1"/>
      <c r="B207" s="1"/>
      <c r="C207" s="4"/>
      <c r="D207" s="1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8.75" customHeight="1">
      <c r="A208" s="1"/>
      <c r="B208" s="1"/>
      <c r="C208" s="4"/>
      <c r="D208" s="1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8.75" customHeight="1">
      <c r="A209" s="1"/>
      <c r="B209" s="1"/>
      <c r="C209" s="4"/>
      <c r="D209" s="1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8.75" customHeight="1">
      <c r="A210" s="1"/>
      <c r="B210" s="1"/>
      <c r="C210" s="4"/>
      <c r="D210" s="1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8.75" customHeight="1">
      <c r="A211" s="1"/>
      <c r="B211" s="1"/>
      <c r="C211" s="4"/>
      <c r="D211" s="1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8.75" customHeight="1">
      <c r="A212" s="1"/>
      <c r="B212" s="1"/>
      <c r="C212" s="4"/>
      <c r="D212" s="1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8.75" customHeight="1">
      <c r="A213" s="1"/>
      <c r="B213" s="1"/>
      <c r="C213" s="4"/>
      <c r="D213" s="1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8.75" customHeight="1">
      <c r="A214" s="1"/>
      <c r="B214" s="1"/>
      <c r="C214" s="4"/>
      <c r="D214" s="1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8.75" customHeight="1">
      <c r="A215" s="1"/>
      <c r="B215" s="1"/>
      <c r="C215" s="4"/>
      <c r="D215" s="1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8.75" customHeight="1">
      <c r="A216" s="1"/>
      <c r="B216" s="1"/>
      <c r="C216" s="4"/>
      <c r="D216" s="1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8.75" customHeight="1">
      <c r="A217" s="1"/>
      <c r="B217" s="1"/>
      <c r="C217" s="4"/>
      <c r="D217" s="1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8.75" customHeight="1">
      <c r="A218" s="1"/>
      <c r="B218" s="1"/>
      <c r="C218" s="4"/>
      <c r="D218" s="1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8.75" customHeight="1">
      <c r="A219" s="1"/>
      <c r="B219" s="1"/>
      <c r="C219" s="4"/>
      <c r="D219" s="1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8.75" customHeight="1">
      <c r="A220" s="1"/>
      <c r="B220" s="1"/>
      <c r="C220" s="4"/>
      <c r="D220" s="1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8.75" customHeight="1">
      <c r="A221" s="1"/>
      <c r="B221" s="1"/>
      <c r="C221" s="4"/>
      <c r="D221" s="1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8.75" customHeight="1">
      <c r="A222" s="1"/>
      <c r="B222" s="1"/>
      <c r="C222" s="4"/>
      <c r="D222" s="1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8.75" customHeight="1">
      <c r="A223" s="1"/>
      <c r="B223" s="1"/>
      <c r="C223" s="4"/>
      <c r="D223" s="1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8.75" customHeight="1">
      <c r="A224" s="1"/>
      <c r="B224" s="1"/>
      <c r="C224" s="4"/>
      <c r="D224" s="1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8.75" customHeight="1">
      <c r="A225" s="1"/>
      <c r="B225" s="1"/>
      <c r="C225" s="4"/>
      <c r="D225" s="1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8.75" customHeight="1">
      <c r="A226" s="1"/>
      <c r="B226" s="1"/>
      <c r="C226" s="4"/>
      <c r="D226" s="1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8.75" customHeight="1">
      <c r="A227" s="1"/>
      <c r="B227" s="1"/>
      <c r="C227" s="4"/>
      <c r="D227" s="1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8.75" customHeight="1">
      <c r="A228" s="1"/>
      <c r="B228" s="1"/>
      <c r="C228" s="4"/>
      <c r="D228" s="1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8.75" customHeight="1">
      <c r="A229" s="1"/>
      <c r="B229" s="1"/>
      <c r="C229" s="4"/>
      <c r="D229" s="1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8.75" customHeight="1">
      <c r="A230" s="1"/>
      <c r="B230" s="1"/>
      <c r="C230" s="4"/>
      <c r="D230" s="1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8.75" customHeight="1">
      <c r="A231" s="1"/>
      <c r="B231" s="1"/>
      <c r="C231" s="4"/>
      <c r="D231" s="1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8.75" customHeight="1">
      <c r="A232" s="1"/>
      <c r="B232" s="1"/>
      <c r="C232" s="4"/>
      <c r="D232" s="1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8.75" customHeight="1">
      <c r="A233" s="1"/>
      <c r="B233" s="1"/>
      <c r="C233" s="4"/>
      <c r="D233" s="1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8.75" customHeight="1">
      <c r="A234" s="1"/>
      <c r="B234" s="1"/>
      <c r="C234" s="4"/>
      <c r="D234" s="1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8.75" customHeight="1">
      <c r="A235" s="1"/>
      <c r="B235" s="1"/>
      <c r="C235" s="4"/>
      <c r="D235" s="1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8.75" customHeight="1">
      <c r="A236" s="1"/>
      <c r="B236" s="1"/>
      <c r="C236" s="4"/>
      <c r="D236" s="1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8.75" customHeight="1">
      <c r="A237" s="1"/>
      <c r="B237" s="1"/>
      <c r="C237" s="4"/>
      <c r="D237" s="1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8.75" customHeight="1">
      <c r="A238" s="1"/>
      <c r="B238" s="1"/>
      <c r="C238" s="4"/>
      <c r="D238" s="1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8.75" customHeight="1">
      <c r="A239" s="1"/>
      <c r="B239" s="1"/>
      <c r="C239" s="4"/>
      <c r="D239" s="1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8.75" customHeight="1">
      <c r="A240" s="1"/>
      <c r="B240" s="1"/>
      <c r="C240" s="4"/>
      <c r="D240" s="1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8.75" customHeight="1">
      <c r="A241" s="1"/>
      <c r="B241" s="1"/>
      <c r="C241" s="4"/>
      <c r="D241" s="1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8.75" customHeight="1">
      <c r="A242" s="1"/>
      <c r="B242" s="1"/>
      <c r="C242" s="4"/>
      <c r="D242" s="1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8.75" customHeight="1">
      <c r="A243" s="1"/>
      <c r="B243" s="1"/>
      <c r="C243" s="4"/>
      <c r="D243" s="1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8.75" customHeight="1">
      <c r="A244" s="1"/>
      <c r="B244" s="1"/>
      <c r="C244" s="4"/>
      <c r="D244" s="1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8.75" customHeight="1">
      <c r="A245" s="1"/>
      <c r="B245" s="1"/>
      <c r="C245" s="4"/>
      <c r="D245" s="1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8.75" customHeight="1">
      <c r="A246" s="1"/>
      <c r="B246" s="1"/>
      <c r="C246" s="4"/>
      <c r="D246" s="1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8.75" customHeight="1">
      <c r="A247" s="1"/>
      <c r="B247" s="1"/>
      <c r="C247" s="4"/>
      <c r="D247" s="1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8.75" customHeight="1">
      <c r="A248" s="1"/>
      <c r="B248" s="1"/>
      <c r="C248" s="4"/>
      <c r="D248" s="1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8.75" customHeight="1">
      <c r="A249" s="1"/>
      <c r="B249" s="1"/>
      <c r="C249" s="4"/>
      <c r="D249" s="1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8.75" customHeight="1">
      <c r="A250" s="1"/>
      <c r="B250" s="1"/>
      <c r="C250" s="4"/>
      <c r="D250" s="1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8.75" customHeight="1">
      <c r="A251" s="1"/>
      <c r="B251" s="1"/>
      <c r="C251" s="4"/>
      <c r="D251" s="1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8.75" customHeight="1">
      <c r="A252" s="1"/>
      <c r="B252" s="1"/>
      <c r="C252" s="4"/>
      <c r="D252" s="1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8.75" customHeight="1">
      <c r="A253" s="1"/>
      <c r="B253" s="1"/>
      <c r="C253" s="4"/>
      <c r="D253" s="1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8.75" customHeight="1">
      <c r="A254" s="1"/>
      <c r="B254" s="1"/>
      <c r="C254" s="4"/>
      <c r="D254" s="1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8.75" customHeight="1">
      <c r="A255" s="1"/>
      <c r="B255" s="1"/>
      <c r="C255" s="4"/>
      <c r="D255" s="1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8.75" customHeight="1">
      <c r="A256" s="1"/>
      <c r="B256" s="1"/>
      <c r="C256" s="4"/>
      <c r="D256" s="1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8.75" customHeight="1">
      <c r="A257" s="1"/>
      <c r="B257" s="1"/>
      <c r="C257" s="4"/>
      <c r="D257" s="1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8.75" customHeight="1">
      <c r="A258" s="1"/>
      <c r="B258" s="1"/>
      <c r="C258" s="4"/>
      <c r="D258" s="1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8.75" customHeight="1">
      <c r="A259" s="1"/>
      <c r="B259" s="1"/>
      <c r="C259" s="4"/>
      <c r="D259" s="1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8.75" customHeight="1">
      <c r="A260" s="1"/>
      <c r="B260" s="1"/>
      <c r="C260" s="4"/>
      <c r="D260" s="1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8.75" customHeight="1">
      <c r="A261" s="1"/>
      <c r="B261" s="1"/>
      <c r="C261" s="4"/>
      <c r="D261" s="1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8.75" customHeight="1">
      <c r="A262" s="1"/>
      <c r="B262" s="1"/>
      <c r="C262" s="4"/>
      <c r="D262" s="1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8.75" customHeight="1">
      <c r="A263" s="1"/>
      <c r="B263" s="1"/>
      <c r="C263" s="4"/>
      <c r="D263" s="1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8.75" customHeight="1">
      <c r="A264" s="1"/>
      <c r="B264" s="1"/>
      <c r="C264" s="4"/>
      <c r="D264" s="1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8.75" customHeight="1">
      <c r="A265" s="1"/>
      <c r="B265" s="1"/>
      <c r="C265" s="4"/>
      <c r="D265" s="1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8.75" customHeight="1">
      <c r="A266" s="1"/>
      <c r="B266" s="1"/>
      <c r="C266" s="4"/>
      <c r="D266" s="1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8.75" customHeight="1">
      <c r="A267" s="1"/>
      <c r="B267" s="1"/>
      <c r="C267" s="4"/>
      <c r="D267" s="1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8.75" customHeight="1">
      <c r="A268" s="1"/>
      <c r="B268" s="1"/>
      <c r="C268" s="4"/>
      <c r="D268" s="1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8.75" customHeight="1">
      <c r="A269" s="1"/>
      <c r="B269" s="1"/>
      <c r="C269" s="4"/>
      <c r="D269" s="1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8.75" customHeight="1">
      <c r="A270" s="1"/>
      <c r="B270" s="1"/>
      <c r="C270" s="4"/>
      <c r="D270" s="1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8.75" customHeight="1">
      <c r="A271" s="1"/>
      <c r="B271" s="1"/>
      <c r="C271" s="4"/>
      <c r="D271" s="1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8.75" customHeight="1">
      <c r="A272" s="1"/>
      <c r="B272" s="1"/>
      <c r="C272" s="4"/>
      <c r="D272" s="1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8.75" customHeight="1">
      <c r="A273" s="1"/>
      <c r="B273" s="1"/>
      <c r="C273" s="4"/>
      <c r="D273" s="1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8.75" customHeight="1">
      <c r="A274" s="1"/>
      <c r="B274" s="1"/>
      <c r="C274" s="4"/>
      <c r="D274" s="1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8.75" customHeight="1">
      <c r="A275" s="1"/>
      <c r="B275" s="1"/>
      <c r="C275" s="4"/>
      <c r="D275" s="1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8.75" customHeight="1">
      <c r="A276" s="1"/>
      <c r="B276" s="1"/>
      <c r="C276" s="4"/>
      <c r="D276" s="1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8.75" customHeight="1">
      <c r="A277" s="1"/>
      <c r="B277" s="1"/>
      <c r="C277" s="4"/>
      <c r="D277" s="1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8.75" customHeight="1">
      <c r="A278" s="1"/>
      <c r="B278" s="1"/>
      <c r="C278" s="4"/>
      <c r="D278" s="1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8.75" customHeight="1">
      <c r="A279" s="1"/>
      <c r="B279" s="1"/>
      <c r="C279" s="4"/>
      <c r="D279" s="1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8.75" customHeight="1">
      <c r="A280" s="1"/>
      <c r="B280" s="1"/>
      <c r="C280" s="4"/>
      <c r="D280" s="1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8.75" customHeight="1">
      <c r="A281" s="1"/>
      <c r="B281" s="1"/>
      <c r="C281" s="4"/>
      <c r="D281" s="1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23.86"/>
    <col customWidth="1" min="3" max="3" width="10.57"/>
    <col customWidth="1" min="4" max="4" width="9.43"/>
    <col customWidth="1" min="5" max="5" width="7.29"/>
    <col customWidth="1" min="6" max="6" width="19.43"/>
    <col customWidth="1" min="7" max="7" width="29.29"/>
    <col customWidth="1" min="8" max="8" width="13.14"/>
    <col customWidth="1" min="9" max="9" width="27.43"/>
    <col customWidth="1" min="10" max="10" width="23.29"/>
    <col customWidth="1" min="11" max="11" width="42.43"/>
    <col customWidth="1" min="12" max="26" width="13.57"/>
  </cols>
  <sheetData>
    <row r="1" ht="18.75" customHeight="1">
      <c r="A1" s="25" t="s">
        <v>61</v>
      </c>
      <c r="B1" s="26" t="s">
        <v>62</v>
      </c>
      <c r="C1" s="26" t="s">
        <v>63</v>
      </c>
      <c r="D1" s="26" t="s">
        <v>64</v>
      </c>
      <c r="E1" s="27" t="s">
        <v>65</v>
      </c>
      <c r="F1" s="27" t="s">
        <v>66</v>
      </c>
      <c r="G1" s="28" t="s">
        <v>67</v>
      </c>
      <c r="H1" s="25" t="s">
        <v>68</v>
      </c>
      <c r="I1" s="29" t="s">
        <v>69</v>
      </c>
      <c r="J1" s="29" t="s">
        <v>70</v>
      </c>
      <c r="K1" s="29" t="s">
        <v>71</v>
      </c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</row>
    <row r="2" ht="15.75" customHeight="1">
      <c r="A2" s="31">
        <v>2317.0</v>
      </c>
      <c r="B2" s="32" t="s">
        <v>72</v>
      </c>
      <c r="C2" s="32" t="s">
        <v>73</v>
      </c>
      <c r="D2" s="32" t="s">
        <v>74</v>
      </c>
      <c r="E2" s="33">
        <v>6.0</v>
      </c>
      <c r="F2" s="33">
        <v>353.0</v>
      </c>
      <c r="G2" s="34">
        <v>21325.0</v>
      </c>
      <c r="H2" s="31">
        <v>2.0</v>
      </c>
      <c r="I2" s="35" t="s">
        <v>75</v>
      </c>
      <c r="J2" s="35" t="s">
        <v>75</v>
      </c>
      <c r="K2" s="35" t="s">
        <v>76</v>
      </c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</row>
    <row r="3" ht="15.75" customHeight="1">
      <c r="A3" s="31">
        <v>4300.0</v>
      </c>
      <c r="B3" s="32" t="s">
        <v>77</v>
      </c>
      <c r="C3" s="32" t="s">
        <v>78</v>
      </c>
      <c r="D3" s="32" t="s">
        <v>79</v>
      </c>
      <c r="E3" s="33">
        <v>2.0</v>
      </c>
      <c r="F3" s="33">
        <v>886.0</v>
      </c>
      <c r="G3" s="34">
        <v>24375.0</v>
      </c>
      <c r="H3" s="31">
        <v>7.0</v>
      </c>
      <c r="I3" s="35" t="s">
        <v>76</v>
      </c>
      <c r="J3" s="35" t="s">
        <v>75</v>
      </c>
      <c r="K3" s="35" t="s">
        <v>76</v>
      </c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</row>
    <row r="4" ht="15.75" customHeight="1">
      <c r="A4" s="31">
        <v>2705.0</v>
      </c>
      <c r="B4" s="32" t="s">
        <v>80</v>
      </c>
      <c r="C4" s="32" t="s">
        <v>81</v>
      </c>
      <c r="D4" s="32" t="s">
        <v>82</v>
      </c>
      <c r="E4" s="33">
        <v>3.0</v>
      </c>
      <c r="F4" s="33">
        <v>616.0</v>
      </c>
      <c r="G4" s="34">
        <v>30292.0</v>
      </c>
      <c r="H4" s="31">
        <v>8.0</v>
      </c>
      <c r="I4" s="35" t="s">
        <v>75</v>
      </c>
      <c r="J4" s="35" t="s">
        <v>76</v>
      </c>
      <c r="K4" s="35" t="s">
        <v>76</v>
      </c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</row>
    <row r="5" ht="15.75" customHeight="1">
      <c r="A5" s="31">
        <v>3392.0</v>
      </c>
      <c r="B5" s="32" t="s">
        <v>83</v>
      </c>
      <c r="C5" s="32" t="s">
        <v>84</v>
      </c>
      <c r="D5" s="32" t="s">
        <v>85</v>
      </c>
      <c r="E5" s="33">
        <v>1.0</v>
      </c>
      <c r="F5" s="33">
        <v>973.0</v>
      </c>
      <c r="G5" s="34">
        <v>25828.0</v>
      </c>
      <c r="H5" s="31">
        <v>2.0</v>
      </c>
      <c r="I5" s="35" t="s">
        <v>76</v>
      </c>
      <c r="J5" s="35" t="s">
        <v>75</v>
      </c>
      <c r="K5" s="35" t="s">
        <v>75</v>
      </c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</row>
    <row r="6" ht="15.75" customHeight="1">
      <c r="A6" s="31">
        <v>5196.0</v>
      </c>
      <c r="B6" s="32" t="s">
        <v>86</v>
      </c>
      <c r="C6" s="32" t="s">
        <v>87</v>
      </c>
      <c r="D6" s="32" t="s">
        <v>88</v>
      </c>
      <c r="E6" s="33">
        <v>10.0</v>
      </c>
      <c r="F6" s="33">
        <v>550.0</v>
      </c>
      <c r="G6" s="36">
        <v>21486.0</v>
      </c>
      <c r="H6" s="31">
        <v>4.0</v>
      </c>
      <c r="I6" s="35" t="s">
        <v>75</v>
      </c>
      <c r="J6" s="35" t="s">
        <v>75</v>
      </c>
      <c r="K6" s="35" t="s">
        <v>75</v>
      </c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</row>
    <row r="7" ht="15.75" customHeight="1">
      <c r="A7" s="31">
        <v>4104.0</v>
      </c>
      <c r="B7" s="32" t="s">
        <v>89</v>
      </c>
      <c r="C7" s="32" t="s">
        <v>90</v>
      </c>
      <c r="D7" s="32" t="s">
        <v>91</v>
      </c>
      <c r="E7" s="33">
        <v>1.0</v>
      </c>
      <c r="F7" s="33">
        <v>376.0</v>
      </c>
      <c r="G7" s="34">
        <v>27425.0</v>
      </c>
      <c r="H7" s="31">
        <v>7.0</v>
      </c>
      <c r="I7" s="35" t="s">
        <v>75</v>
      </c>
      <c r="J7" s="35" t="s">
        <v>75</v>
      </c>
      <c r="K7" s="35" t="s">
        <v>76</v>
      </c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</row>
    <row r="8" ht="15.75" customHeight="1">
      <c r="A8" s="31">
        <v>4657.0</v>
      </c>
      <c r="B8" s="32" t="s">
        <v>92</v>
      </c>
      <c r="C8" s="32" t="s">
        <v>93</v>
      </c>
      <c r="D8" s="32" t="s">
        <v>94</v>
      </c>
      <c r="E8" s="33">
        <v>6.0</v>
      </c>
      <c r="F8" s="33">
        <v>846.0</v>
      </c>
      <c r="G8" s="34">
        <v>34226.0</v>
      </c>
      <c r="H8" s="31">
        <v>6.0</v>
      </c>
      <c r="I8" s="35" t="s">
        <v>76</v>
      </c>
      <c r="J8" s="35" t="s">
        <v>75</v>
      </c>
      <c r="K8" s="35" t="s">
        <v>76</v>
      </c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ht="15.75" customHeight="1">
      <c r="A9" s="31">
        <v>4433.0</v>
      </c>
      <c r="B9" s="32" t="s">
        <v>95</v>
      </c>
      <c r="C9" s="32" t="s">
        <v>96</v>
      </c>
      <c r="D9" s="32" t="s">
        <v>97</v>
      </c>
      <c r="E9" s="33">
        <v>3.0</v>
      </c>
      <c r="F9" s="33">
        <v>584.0</v>
      </c>
      <c r="G9" s="34">
        <v>28902.0</v>
      </c>
      <c r="H9" s="31">
        <v>4.0</v>
      </c>
      <c r="I9" s="35" t="s">
        <v>75</v>
      </c>
      <c r="J9" s="35" t="s">
        <v>75</v>
      </c>
      <c r="K9" s="35" t="s">
        <v>76</v>
      </c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</row>
    <row r="10" ht="15.75" customHeight="1">
      <c r="A10" s="31">
        <v>5411.0</v>
      </c>
      <c r="B10" s="32" t="s">
        <v>98</v>
      </c>
      <c r="C10" s="32" t="s">
        <v>99</v>
      </c>
      <c r="D10" s="32" t="s">
        <v>100</v>
      </c>
      <c r="E10" s="33">
        <v>14.0</v>
      </c>
      <c r="F10" s="33">
        <v>446.0</v>
      </c>
      <c r="G10" s="34">
        <v>20863.0</v>
      </c>
      <c r="H10" s="31">
        <v>7.0</v>
      </c>
      <c r="I10" s="35" t="s">
        <v>76</v>
      </c>
      <c r="J10" s="35" t="s">
        <v>75</v>
      </c>
      <c r="K10" s="35" t="s">
        <v>75</v>
      </c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</row>
    <row r="11" ht="15.75" customHeight="1">
      <c r="A11" s="31">
        <v>2839.0</v>
      </c>
      <c r="B11" s="32" t="s">
        <v>101</v>
      </c>
      <c r="C11" s="32" t="s">
        <v>102</v>
      </c>
      <c r="D11" s="32" t="s">
        <v>88</v>
      </c>
      <c r="E11" s="33">
        <v>4.0</v>
      </c>
      <c r="F11" s="33">
        <v>586.0</v>
      </c>
      <c r="G11" s="34">
        <v>20162.0</v>
      </c>
      <c r="H11" s="31">
        <v>9.0</v>
      </c>
      <c r="I11" s="35" t="s">
        <v>76</v>
      </c>
      <c r="J11" s="35" t="s">
        <v>76</v>
      </c>
      <c r="K11" s="35" t="s">
        <v>75</v>
      </c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</row>
    <row r="12" ht="15.75" customHeight="1">
      <c r="A12" s="31">
        <v>2623.0</v>
      </c>
      <c r="B12" s="32" t="s">
        <v>103</v>
      </c>
      <c r="C12" s="32" t="s">
        <v>104</v>
      </c>
      <c r="D12" s="32" t="s">
        <v>105</v>
      </c>
      <c r="E12" s="33">
        <v>10.0</v>
      </c>
      <c r="F12" s="33">
        <v>578.0</v>
      </c>
      <c r="G12" s="34">
        <v>30415.0</v>
      </c>
      <c r="H12" s="31">
        <v>1.0</v>
      </c>
      <c r="I12" s="35" t="s">
        <v>76</v>
      </c>
      <c r="J12" s="35" t="s">
        <v>75</v>
      </c>
      <c r="K12" s="35" t="s">
        <v>75</v>
      </c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</row>
    <row r="13" ht="15.75" customHeight="1">
      <c r="A13" s="31">
        <v>2789.0</v>
      </c>
      <c r="B13" s="32" t="s">
        <v>106</v>
      </c>
      <c r="C13" s="32" t="s">
        <v>107</v>
      </c>
      <c r="D13" s="32" t="s">
        <v>105</v>
      </c>
      <c r="E13" s="33">
        <v>6.0</v>
      </c>
      <c r="F13" s="33">
        <v>961.0</v>
      </c>
      <c r="G13" s="34">
        <v>31939.0</v>
      </c>
      <c r="H13" s="31">
        <v>7.0</v>
      </c>
      <c r="I13" s="35" t="s">
        <v>75</v>
      </c>
      <c r="J13" s="35" t="s">
        <v>76</v>
      </c>
      <c r="K13" s="35" t="s">
        <v>76</v>
      </c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</row>
    <row r="14" ht="15.75" customHeight="1">
      <c r="A14" s="31">
        <v>2793.0</v>
      </c>
      <c r="B14" s="32" t="s">
        <v>108</v>
      </c>
      <c r="C14" s="32" t="s">
        <v>109</v>
      </c>
      <c r="D14" s="32" t="s">
        <v>88</v>
      </c>
      <c r="E14" s="33">
        <v>13.0</v>
      </c>
      <c r="F14" s="33">
        <v>313.0</v>
      </c>
      <c r="G14" s="34">
        <v>23450.0</v>
      </c>
      <c r="H14" s="31">
        <v>2.0</v>
      </c>
      <c r="I14" s="35" t="s">
        <v>75</v>
      </c>
      <c r="J14" s="35" t="s">
        <v>75</v>
      </c>
      <c r="K14" s="35" t="s">
        <v>75</v>
      </c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</row>
    <row r="15" ht="15.75" customHeight="1">
      <c r="A15" s="31">
        <v>3022.0</v>
      </c>
      <c r="B15" s="32" t="s">
        <v>110</v>
      </c>
      <c r="C15" s="32" t="s">
        <v>111</v>
      </c>
      <c r="D15" s="32" t="s">
        <v>105</v>
      </c>
      <c r="E15" s="33">
        <v>12.0</v>
      </c>
      <c r="F15" s="33">
        <v>492.0</v>
      </c>
      <c r="G15" s="34">
        <v>28645.0</v>
      </c>
      <c r="H15" s="31">
        <v>1.0</v>
      </c>
      <c r="I15" s="35" t="s">
        <v>76</v>
      </c>
      <c r="J15" s="35" t="s">
        <v>75</v>
      </c>
      <c r="K15" s="35" t="s">
        <v>76</v>
      </c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</row>
    <row r="16" ht="15.75" customHeight="1">
      <c r="A16" s="31">
        <v>3943.0</v>
      </c>
      <c r="B16" s="32" t="s">
        <v>112</v>
      </c>
      <c r="C16" s="32" t="s">
        <v>113</v>
      </c>
      <c r="D16" s="32" t="s">
        <v>114</v>
      </c>
      <c r="E16" s="33">
        <v>6.0</v>
      </c>
      <c r="F16" s="33">
        <v>571.0</v>
      </c>
      <c r="G16" s="34">
        <v>27802.0</v>
      </c>
      <c r="H16" s="31">
        <v>5.0</v>
      </c>
      <c r="I16" s="35" t="s">
        <v>76</v>
      </c>
      <c r="J16" s="35" t="s">
        <v>76</v>
      </c>
      <c r="K16" s="35" t="s">
        <v>76</v>
      </c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</row>
    <row r="17" ht="15.75" customHeight="1">
      <c r="A17" s="31">
        <v>3783.0</v>
      </c>
      <c r="B17" s="32" t="s">
        <v>115</v>
      </c>
      <c r="C17" s="32" t="s">
        <v>116</v>
      </c>
      <c r="D17" s="32" t="s">
        <v>79</v>
      </c>
      <c r="E17" s="33">
        <v>6.0</v>
      </c>
      <c r="F17" s="33">
        <v>470.0</v>
      </c>
      <c r="G17" s="34">
        <v>31895.0</v>
      </c>
      <c r="H17" s="31">
        <v>2.0</v>
      </c>
      <c r="I17" s="35" t="s">
        <v>75</v>
      </c>
      <c r="J17" s="35" t="s">
        <v>75</v>
      </c>
      <c r="K17" s="35" t="s">
        <v>75</v>
      </c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</row>
    <row r="18" ht="15.75" customHeight="1">
      <c r="A18" s="31">
        <v>4951.0</v>
      </c>
      <c r="B18" s="32" t="s">
        <v>117</v>
      </c>
      <c r="C18" s="32" t="s">
        <v>118</v>
      </c>
      <c r="D18" s="32" t="s">
        <v>100</v>
      </c>
      <c r="E18" s="33">
        <v>1.0</v>
      </c>
      <c r="F18" s="33">
        <v>614.0</v>
      </c>
      <c r="G18" s="34">
        <v>25276.0</v>
      </c>
      <c r="H18" s="31">
        <v>4.0</v>
      </c>
      <c r="I18" s="35" t="s">
        <v>75</v>
      </c>
      <c r="J18" s="35" t="s">
        <v>76</v>
      </c>
      <c r="K18" s="35" t="s">
        <v>76</v>
      </c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</row>
    <row r="19" ht="15.75" customHeight="1">
      <c r="A19" s="31">
        <v>5356.0</v>
      </c>
      <c r="B19" s="32" t="s">
        <v>119</v>
      </c>
      <c r="C19" s="32" t="s">
        <v>120</v>
      </c>
      <c r="D19" s="32" t="s">
        <v>97</v>
      </c>
      <c r="E19" s="33">
        <v>15.0</v>
      </c>
      <c r="F19" s="33">
        <v>833.0</v>
      </c>
      <c r="G19" s="36">
        <v>26631.0</v>
      </c>
      <c r="H19" s="31">
        <v>10.0</v>
      </c>
      <c r="I19" s="35" t="s">
        <v>76</v>
      </c>
      <c r="J19" s="35" t="s">
        <v>76</v>
      </c>
      <c r="K19" s="35" t="s">
        <v>76</v>
      </c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</row>
    <row r="20" ht="15.75" customHeight="1">
      <c r="A20" s="31">
        <v>5063.0</v>
      </c>
      <c r="B20" s="32" t="s">
        <v>121</v>
      </c>
      <c r="C20" s="32" t="s">
        <v>122</v>
      </c>
      <c r="D20" s="32" t="s">
        <v>94</v>
      </c>
      <c r="E20" s="33">
        <v>13.0</v>
      </c>
      <c r="F20" s="33">
        <v>364.0</v>
      </c>
      <c r="G20" s="34">
        <v>21654.0</v>
      </c>
      <c r="H20" s="31">
        <v>4.0</v>
      </c>
      <c r="I20" s="35" t="s">
        <v>75</v>
      </c>
      <c r="J20" s="35" t="s">
        <v>76</v>
      </c>
      <c r="K20" s="35" t="s">
        <v>76</v>
      </c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</row>
    <row r="21" ht="15.75" customHeight="1">
      <c r="A21" s="31">
        <v>4159.0</v>
      </c>
      <c r="B21" s="32" t="s">
        <v>123</v>
      </c>
      <c r="C21" s="32" t="s">
        <v>124</v>
      </c>
      <c r="D21" s="32" t="s">
        <v>125</v>
      </c>
      <c r="E21" s="33">
        <v>1.0</v>
      </c>
      <c r="F21" s="33">
        <v>196.0</v>
      </c>
      <c r="G21" s="34">
        <v>28252.0</v>
      </c>
      <c r="H21" s="31">
        <v>7.0</v>
      </c>
      <c r="I21" s="35" t="s">
        <v>76</v>
      </c>
      <c r="J21" s="35" t="s">
        <v>75</v>
      </c>
      <c r="K21" s="35" t="s">
        <v>76</v>
      </c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</row>
    <row r="22" ht="15.75" customHeight="1">
      <c r="A22" s="31">
        <v>5473.0</v>
      </c>
      <c r="B22" s="32" t="s">
        <v>126</v>
      </c>
      <c r="C22" s="32" t="s">
        <v>127</v>
      </c>
      <c r="D22" s="32" t="s">
        <v>94</v>
      </c>
      <c r="E22" s="33">
        <v>1.0</v>
      </c>
      <c r="F22" s="33">
        <v>853.0</v>
      </c>
      <c r="G22" s="34">
        <v>22688.0</v>
      </c>
      <c r="H22" s="31">
        <v>1.0</v>
      </c>
      <c r="I22" s="35" t="s">
        <v>75</v>
      </c>
      <c r="J22" s="35" t="s">
        <v>75</v>
      </c>
      <c r="K22" s="35" t="s">
        <v>75</v>
      </c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</row>
    <row r="23" ht="15.75" customHeight="1">
      <c r="A23" s="31">
        <v>3028.0</v>
      </c>
      <c r="B23" s="32" t="s">
        <v>128</v>
      </c>
      <c r="C23" s="32" t="s">
        <v>129</v>
      </c>
      <c r="D23" s="32" t="s">
        <v>94</v>
      </c>
      <c r="E23" s="33">
        <v>12.0</v>
      </c>
      <c r="F23" s="33">
        <v>650.0</v>
      </c>
      <c r="G23" s="34">
        <v>30900.0</v>
      </c>
      <c r="H23" s="31">
        <v>9.0</v>
      </c>
      <c r="I23" s="35" t="s">
        <v>76</v>
      </c>
      <c r="J23" s="35" t="s">
        <v>76</v>
      </c>
      <c r="K23" s="35" t="s">
        <v>76</v>
      </c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</row>
    <row r="24" ht="15.75" customHeight="1">
      <c r="A24" s="31">
        <v>3071.0</v>
      </c>
      <c r="B24" s="32" t="s">
        <v>130</v>
      </c>
      <c r="C24" s="32" t="s">
        <v>131</v>
      </c>
      <c r="D24" s="32" t="s">
        <v>132</v>
      </c>
      <c r="E24" s="33">
        <v>2.0</v>
      </c>
      <c r="F24" s="33">
        <v>809.0</v>
      </c>
      <c r="G24" s="36">
        <v>29934.0</v>
      </c>
      <c r="H24" s="31">
        <v>7.0</v>
      </c>
      <c r="I24" s="35" t="s">
        <v>76</v>
      </c>
      <c r="J24" s="35" t="s">
        <v>76</v>
      </c>
      <c r="K24" s="35" t="s">
        <v>76</v>
      </c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</row>
    <row r="25" ht="15.75" customHeight="1">
      <c r="A25" s="31">
        <v>5592.0</v>
      </c>
      <c r="B25" s="32" t="s">
        <v>133</v>
      </c>
      <c r="C25" s="32" t="s">
        <v>134</v>
      </c>
      <c r="D25" s="32" t="s">
        <v>97</v>
      </c>
      <c r="E25" s="33">
        <v>3.0</v>
      </c>
      <c r="F25" s="33">
        <v>71.0</v>
      </c>
      <c r="G25" s="34">
        <v>33488.0</v>
      </c>
      <c r="H25" s="31">
        <v>3.0</v>
      </c>
      <c r="I25" s="35" t="s">
        <v>76</v>
      </c>
      <c r="J25" s="35" t="s">
        <v>75</v>
      </c>
      <c r="K25" s="35" t="s">
        <v>75</v>
      </c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</row>
    <row r="26" ht="15.75" customHeight="1">
      <c r="A26" s="31">
        <v>3573.0</v>
      </c>
      <c r="B26" s="32" t="s">
        <v>135</v>
      </c>
      <c r="C26" s="32" t="s">
        <v>136</v>
      </c>
      <c r="D26" s="32" t="s">
        <v>94</v>
      </c>
      <c r="E26" s="33">
        <v>2.0</v>
      </c>
      <c r="F26" s="33">
        <v>38.0</v>
      </c>
      <c r="G26" s="34">
        <v>27002.0</v>
      </c>
      <c r="H26" s="31">
        <v>7.0</v>
      </c>
      <c r="I26" s="35" t="s">
        <v>76</v>
      </c>
      <c r="J26" s="35" t="s">
        <v>75</v>
      </c>
      <c r="K26" s="35" t="s">
        <v>76</v>
      </c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</row>
    <row r="27" ht="18.75" customHeight="1">
      <c r="A27" s="31">
        <v>2681.0</v>
      </c>
      <c r="B27" s="32" t="s">
        <v>137</v>
      </c>
      <c r="C27" s="32" t="s">
        <v>138</v>
      </c>
      <c r="D27" s="32" t="s">
        <v>139</v>
      </c>
      <c r="E27" s="33">
        <v>2.0</v>
      </c>
      <c r="F27" s="33">
        <v>802.0</v>
      </c>
      <c r="G27" s="34">
        <v>30796.0</v>
      </c>
      <c r="H27" s="31">
        <v>2.0</v>
      </c>
      <c r="I27" s="35" t="s">
        <v>75</v>
      </c>
      <c r="J27" s="35" t="s">
        <v>76</v>
      </c>
      <c r="K27" s="35" t="s">
        <v>76</v>
      </c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</row>
    <row r="28" ht="18.75" customHeight="1">
      <c r="A28" s="31">
        <v>4736.0</v>
      </c>
      <c r="B28" s="32" t="s">
        <v>140</v>
      </c>
      <c r="C28" s="32" t="s">
        <v>141</v>
      </c>
      <c r="D28" s="32" t="s">
        <v>100</v>
      </c>
      <c r="E28" s="33">
        <v>10.0</v>
      </c>
      <c r="F28" s="33">
        <v>387.0</v>
      </c>
      <c r="G28" s="34">
        <v>26011.0</v>
      </c>
      <c r="H28" s="31">
        <v>7.0</v>
      </c>
      <c r="I28" s="35" t="s">
        <v>75</v>
      </c>
      <c r="J28" s="35" t="s">
        <v>75</v>
      </c>
      <c r="K28" s="35" t="s">
        <v>76</v>
      </c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</row>
    <row r="29" ht="18.75" customHeight="1">
      <c r="A29" s="31">
        <v>4396.0</v>
      </c>
      <c r="B29" s="32" t="s">
        <v>142</v>
      </c>
      <c r="C29" s="32" t="s">
        <v>143</v>
      </c>
      <c r="D29" s="32" t="s">
        <v>94</v>
      </c>
      <c r="E29" s="33">
        <v>1.0</v>
      </c>
      <c r="F29" s="33">
        <v>953.0</v>
      </c>
      <c r="G29" s="34">
        <v>20605.0</v>
      </c>
      <c r="H29" s="31">
        <v>3.0</v>
      </c>
      <c r="I29" s="35" t="s">
        <v>76</v>
      </c>
      <c r="J29" s="35" t="s">
        <v>76</v>
      </c>
      <c r="K29" s="35" t="s">
        <v>76</v>
      </c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</row>
    <row r="30" ht="18.75" customHeight="1">
      <c r="A30" s="31">
        <v>4657.0</v>
      </c>
      <c r="B30" s="32" t="s">
        <v>144</v>
      </c>
      <c r="C30" s="32" t="s">
        <v>145</v>
      </c>
      <c r="D30" s="32" t="s">
        <v>82</v>
      </c>
      <c r="E30" s="33">
        <v>5.0</v>
      </c>
      <c r="F30" s="33">
        <v>95.0</v>
      </c>
      <c r="G30" s="34">
        <v>30572.0</v>
      </c>
      <c r="H30" s="31">
        <v>2.0</v>
      </c>
      <c r="I30" s="35" t="s">
        <v>76</v>
      </c>
      <c r="J30" s="35" t="s">
        <v>75</v>
      </c>
      <c r="K30" s="35" t="s">
        <v>75</v>
      </c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</row>
    <row r="31" ht="18.75" customHeight="1">
      <c r="A31" s="31">
        <v>3475.0</v>
      </c>
      <c r="B31" s="32" t="s">
        <v>146</v>
      </c>
      <c r="C31" s="32" t="s">
        <v>147</v>
      </c>
      <c r="D31" s="32" t="s">
        <v>94</v>
      </c>
      <c r="E31" s="33">
        <v>10.0</v>
      </c>
      <c r="F31" s="33">
        <v>582.0</v>
      </c>
      <c r="G31" s="34">
        <v>34722.0</v>
      </c>
      <c r="H31" s="31">
        <v>2.0</v>
      </c>
      <c r="I31" s="35" t="s">
        <v>76</v>
      </c>
      <c r="J31" s="35" t="s">
        <v>76</v>
      </c>
      <c r="K31" s="35" t="s">
        <v>75</v>
      </c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</row>
    <row r="32" ht="18.75" customHeight="1">
      <c r="A32" s="31">
        <v>3681.0</v>
      </c>
      <c r="B32" s="32" t="s">
        <v>148</v>
      </c>
      <c r="C32" s="32" t="s">
        <v>149</v>
      </c>
      <c r="D32" s="32" t="s">
        <v>139</v>
      </c>
      <c r="E32" s="33">
        <v>13.0</v>
      </c>
      <c r="F32" s="33">
        <v>933.0</v>
      </c>
      <c r="G32" s="34">
        <v>23968.0</v>
      </c>
      <c r="H32" s="31">
        <v>6.0</v>
      </c>
      <c r="I32" s="35" t="s">
        <v>75</v>
      </c>
      <c r="J32" s="35" t="s">
        <v>76</v>
      </c>
      <c r="K32" s="35" t="s">
        <v>75</v>
      </c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</row>
    <row r="33" ht="18.75" customHeight="1">
      <c r="A33" s="31">
        <v>4150.0</v>
      </c>
      <c r="B33" s="32" t="s">
        <v>150</v>
      </c>
      <c r="C33" s="32" t="s">
        <v>151</v>
      </c>
      <c r="D33" s="32" t="s">
        <v>88</v>
      </c>
      <c r="E33" s="33">
        <v>1.0</v>
      </c>
      <c r="F33" s="33">
        <v>427.0</v>
      </c>
      <c r="G33" s="34">
        <v>29010.0</v>
      </c>
      <c r="H33" s="31">
        <v>1.0</v>
      </c>
      <c r="I33" s="35" t="s">
        <v>75</v>
      </c>
      <c r="J33" s="35" t="s">
        <v>76</v>
      </c>
      <c r="K33" s="35" t="s">
        <v>75</v>
      </c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</row>
    <row r="34" ht="18.75" customHeight="1">
      <c r="A34" s="31">
        <v>4561.0</v>
      </c>
      <c r="B34" s="32" t="s">
        <v>152</v>
      </c>
      <c r="C34" s="32" t="s">
        <v>153</v>
      </c>
      <c r="D34" s="32" t="s">
        <v>154</v>
      </c>
      <c r="E34" s="33">
        <v>5.0</v>
      </c>
      <c r="F34" s="33">
        <v>445.0</v>
      </c>
      <c r="G34" s="36">
        <v>30296.0</v>
      </c>
      <c r="H34" s="31">
        <v>9.0</v>
      </c>
      <c r="I34" s="35" t="s">
        <v>75</v>
      </c>
      <c r="J34" s="35" t="s">
        <v>76</v>
      </c>
      <c r="K34" s="35" t="s">
        <v>76</v>
      </c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</row>
    <row r="35" ht="18.75" customHeight="1">
      <c r="A35" s="31">
        <v>4661.0</v>
      </c>
      <c r="B35" s="32" t="s">
        <v>155</v>
      </c>
      <c r="C35" s="32" t="s">
        <v>156</v>
      </c>
      <c r="D35" s="32" t="s">
        <v>79</v>
      </c>
      <c r="E35" s="33">
        <v>2.0</v>
      </c>
      <c r="F35" s="33">
        <v>655.0</v>
      </c>
      <c r="G35" s="34">
        <v>30731.0</v>
      </c>
      <c r="H35" s="31">
        <v>7.0</v>
      </c>
      <c r="I35" s="35" t="s">
        <v>76</v>
      </c>
      <c r="J35" s="35" t="s">
        <v>75</v>
      </c>
      <c r="K35" s="35" t="s">
        <v>75</v>
      </c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</row>
    <row r="36" ht="18.75" customHeight="1">
      <c r="A36" s="31">
        <v>3394.0</v>
      </c>
      <c r="B36" s="32" t="s">
        <v>157</v>
      </c>
      <c r="C36" s="32" t="s">
        <v>158</v>
      </c>
      <c r="D36" s="32" t="s">
        <v>74</v>
      </c>
      <c r="E36" s="33">
        <v>14.0</v>
      </c>
      <c r="F36" s="33">
        <v>312.0</v>
      </c>
      <c r="G36" s="34">
        <v>31836.0</v>
      </c>
      <c r="H36" s="31">
        <v>1.0</v>
      </c>
      <c r="I36" s="35" t="s">
        <v>75</v>
      </c>
      <c r="J36" s="35" t="s">
        <v>75</v>
      </c>
      <c r="K36" s="35" t="s">
        <v>75</v>
      </c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</row>
    <row r="37" ht="18.75" customHeight="1">
      <c r="A37" s="31">
        <v>3717.0</v>
      </c>
      <c r="B37" s="32" t="s">
        <v>159</v>
      </c>
      <c r="C37" s="32" t="s">
        <v>160</v>
      </c>
      <c r="D37" s="32" t="s">
        <v>79</v>
      </c>
      <c r="E37" s="33">
        <v>11.0</v>
      </c>
      <c r="F37" s="33">
        <v>518.0</v>
      </c>
      <c r="G37" s="36">
        <v>25868.0</v>
      </c>
      <c r="H37" s="31">
        <v>10.0</v>
      </c>
      <c r="I37" s="35" t="s">
        <v>76</v>
      </c>
      <c r="J37" s="35" t="s">
        <v>76</v>
      </c>
      <c r="K37" s="35" t="s">
        <v>75</v>
      </c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</row>
    <row r="38" ht="18.75" customHeight="1">
      <c r="A38" s="31">
        <v>4938.0</v>
      </c>
      <c r="B38" s="32" t="s">
        <v>161</v>
      </c>
      <c r="C38" s="32" t="s">
        <v>162</v>
      </c>
      <c r="D38" s="32" t="s">
        <v>94</v>
      </c>
      <c r="E38" s="33">
        <v>13.0</v>
      </c>
      <c r="F38" s="33">
        <v>589.0</v>
      </c>
      <c r="G38" s="34">
        <v>34765.0</v>
      </c>
      <c r="H38" s="31">
        <v>7.0</v>
      </c>
      <c r="I38" s="35" t="s">
        <v>76</v>
      </c>
      <c r="J38" s="35" t="s">
        <v>76</v>
      </c>
      <c r="K38" s="35" t="s">
        <v>75</v>
      </c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</row>
    <row r="39" ht="18.75" customHeight="1">
      <c r="A39" s="31">
        <v>4332.0</v>
      </c>
      <c r="B39" s="32" t="s">
        <v>163</v>
      </c>
      <c r="C39" s="32" t="s">
        <v>81</v>
      </c>
      <c r="D39" s="32" t="s">
        <v>82</v>
      </c>
      <c r="E39" s="33">
        <v>9.0</v>
      </c>
      <c r="F39" s="33">
        <v>365.0</v>
      </c>
      <c r="G39" s="34">
        <v>28930.0</v>
      </c>
      <c r="H39" s="31">
        <v>4.0</v>
      </c>
      <c r="I39" s="35" t="s">
        <v>75</v>
      </c>
      <c r="J39" s="35" t="s">
        <v>76</v>
      </c>
      <c r="K39" s="35" t="s">
        <v>76</v>
      </c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</row>
    <row r="40" ht="18.75" customHeight="1">
      <c r="A40" s="31">
        <v>2532.0</v>
      </c>
      <c r="B40" s="32" t="s">
        <v>164</v>
      </c>
      <c r="C40" s="32" t="s">
        <v>165</v>
      </c>
      <c r="D40" s="32" t="s">
        <v>166</v>
      </c>
      <c r="E40" s="33">
        <v>13.0</v>
      </c>
      <c r="F40" s="33">
        <v>353.0</v>
      </c>
      <c r="G40" s="34">
        <v>29038.0</v>
      </c>
      <c r="H40" s="31">
        <v>4.0</v>
      </c>
      <c r="I40" s="35" t="s">
        <v>76</v>
      </c>
      <c r="J40" s="35" t="s">
        <v>75</v>
      </c>
      <c r="K40" s="35" t="s">
        <v>76</v>
      </c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 ht="18.75" customHeight="1">
      <c r="A41" s="31">
        <v>5477.0</v>
      </c>
      <c r="B41" s="32" t="s">
        <v>167</v>
      </c>
      <c r="C41" s="32" t="s">
        <v>168</v>
      </c>
      <c r="D41" s="32" t="s">
        <v>105</v>
      </c>
      <c r="E41" s="33">
        <v>4.0</v>
      </c>
      <c r="F41" s="33">
        <v>787.0</v>
      </c>
      <c r="G41" s="34">
        <v>21232.0</v>
      </c>
      <c r="H41" s="31">
        <v>8.0</v>
      </c>
      <c r="I41" s="35" t="s">
        <v>76</v>
      </c>
      <c r="J41" s="35" t="s">
        <v>75</v>
      </c>
      <c r="K41" s="35" t="s">
        <v>76</v>
      </c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</row>
    <row r="42" ht="18.75" customHeight="1">
      <c r="A42" s="31">
        <v>2943.0</v>
      </c>
      <c r="B42" s="32" t="s">
        <v>169</v>
      </c>
      <c r="C42" s="32" t="s">
        <v>170</v>
      </c>
      <c r="D42" s="32" t="s">
        <v>132</v>
      </c>
      <c r="E42" s="33">
        <v>10.0</v>
      </c>
      <c r="F42" s="33">
        <v>983.0</v>
      </c>
      <c r="G42" s="34">
        <v>33072.0</v>
      </c>
      <c r="H42" s="31">
        <v>5.0</v>
      </c>
      <c r="I42" s="35" t="s">
        <v>76</v>
      </c>
      <c r="J42" s="35" t="s">
        <v>75</v>
      </c>
      <c r="K42" s="35" t="s">
        <v>75</v>
      </c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</row>
    <row r="43" ht="18.75" customHeight="1">
      <c r="A43" s="31">
        <v>3969.0</v>
      </c>
      <c r="B43" s="32" t="s">
        <v>171</v>
      </c>
      <c r="C43" s="32" t="s">
        <v>172</v>
      </c>
      <c r="D43" s="32" t="s">
        <v>85</v>
      </c>
      <c r="E43" s="33">
        <v>1.0</v>
      </c>
      <c r="F43" s="33">
        <v>149.0</v>
      </c>
      <c r="G43" s="34">
        <v>25385.0</v>
      </c>
      <c r="H43" s="31">
        <v>3.0</v>
      </c>
      <c r="I43" s="35" t="s">
        <v>76</v>
      </c>
      <c r="J43" s="35" t="s">
        <v>76</v>
      </c>
      <c r="K43" s="35" t="s">
        <v>76</v>
      </c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</row>
    <row r="44" ht="18.75" customHeight="1">
      <c r="A44" s="31">
        <v>4468.0</v>
      </c>
      <c r="B44" s="32" t="s">
        <v>173</v>
      </c>
      <c r="C44" s="32" t="s">
        <v>174</v>
      </c>
      <c r="D44" s="32" t="s">
        <v>166</v>
      </c>
      <c r="E44" s="33">
        <v>4.0</v>
      </c>
      <c r="F44" s="33">
        <v>559.0</v>
      </c>
      <c r="G44" s="34">
        <v>31434.0</v>
      </c>
      <c r="H44" s="31">
        <v>4.0</v>
      </c>
      <c r="I44" s="35" t="s">
        <v>75</v>
      </c>
      <c r="J44" s="35" t="s">
        <v>75</v>
      </c>
      <c r="K44" s="35" t="s">
        <v>75</v>
      </c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</row>
    <row r="45" ht="18.75" customHeight="1">
      <c r="A45" s="31">
        <v>3936.0</v>
      </c>
      <c r="B45" s="32" t="s">
        <v>175</v>
      </c>
      <c r="C45" s="32" t="s">
        <v>176</v>
      </c>
      <c r="D45" s="32" t="s">
        <v>94</v>
      </c>
      <c r="E45" s="33">
        <v>11.0</v>
      </c>
      <c r="F45" s="33">
        <v>27.0</v>
      </c>
      <c r="G45" s="34">
        <v>29124.0</v>
      </c>
      <c r="H45" s="31">
        <v>9.0</v>
      </c>
      <c r="I45" s="35" t="s">
        <v>76</v>
      </c>
      <c r="J45" s="35" t="s">
        <v>76</v>
      </c>
      <c r="K45" s="35" t="s">
        <v>75</v>
      </c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</row>
    <row r="46" ht="18.75" customHeight="1">
      <c r="A46" s="31">
        <v>4349.0</v>
      </c>
      <c r="B46" s="32" t="s">
        <v>177</v>
      </c>
      <c r="C46" s="32" t="s">
        <v>178</v>
      </c>
      <c r="D46" s="32" t="s">
        <v>179</v>
      </c>
      <c r="E46" s="33">
        <v>14.0</v>
      </c>
      <c r="F46" s="33">
        <v>653.0</v>
      </c>
      <c r="G46" s="34">
        <v>34710.0</v>
      </c>
      <c r="H46" s="31">
        <v>9.0</v>
      </c>
      <c r="I46" s="35" t="s">
        <v>76</v>
      </c>
      <c r="J46" s="35" t="s">
        <v>76</v>
      </c>
      <c r="K46" s="35" t="s">
        <v>76</v>
      </c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</row>
    <row r="47" ht="18.75" customHeight="1">
      <c r="A47" s="31">
        <v>4596.0</v>
      </c>
      <c r="B47" s="32" t="s">
        <v>180</v>
      </c>
      <c r="C47" s="32" t="s">
        <v>181</v>
      </c>
      <c r="D47" s="32" t="s">
        <v>97</v>
      </c>
      <c r="E47" s="33">
        <v>9.0</v>
      </c>
      <c r="F47" s="33">
        <v>779.0</v>
      </c>
      <c r="G47" s="36">
        <v>20088.0</v>
      </c>
      <c r="H47" s="31">
        <v>4.0</v>
      </c>
      <c r="I47" s="35" t="s">
        <v>75</v>
      </c>
      <c r="J47" s="35" t="s">
        <v>75</v>
      </c>
      <c r="K47" s="35" t="s">
        <v>75</v>
      </c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</row>
    <row r="48" ht="18.75" customHeight="1">
      <c r="A48" s="31">
        <v>4281.0</v>
      </c>
      <c r="B48" s="32" t="s">
        <v>182</v>
      </c>
      <c r="C48" s="32" t="s">
        <v>183</v>
      </c>
      <c r="D48" s="32" t="s">
        <v>100</v>
      </c>
      <c r="E48" s="33">
        <v>11.0</v>
      </c>
      <c r="F48" s="33">
        <v>531.0</v>
      </c>
      <c r="G48" s="34">
        <v>20998.0</v>
      </c>
      <c r="H48" s="31">
        <v>2.0</v>
      </c>
      <c r="I48" s="35" t="s">
        <v>76</v>
      </c>
      <c r="J48" s="35" t="s">
        <v>76</v>
      </c>
      <c r="K48" s="35" t="s">
        <v>75</v>
      </c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</row>
    <row r="49" ht="18.75" customHeight="1">
      <c r="A49" s="31">
        <v>5516.0</v>
      </c>
      <c r="B49" s="32" t="s">
        <v>184</v>
      </c>
      <c r="C49" s="32" t="s">
        <v>185</v>
      </c>
      <c r="D49" s="32" t="s">
        <v>114</v>
      </c>
      <c r="E49" s="33">
        <v>14.0</v>
      </c>
      <c r="F49" s="33">
        <v>183.0</v>
      </c>
      <c r="G49" s="34">
        <v>21000.0</v>
      </c>
      <c r="H49" s="31">
        <v>3.0</v>
      </c>
      <c r="I49" s="35" t="s">
        <v>76</v>
      </c>
      <c r="J49" s="35" t="s">
        <v>76</v>
      </c>
      <c r="K49" s="35" t="s">
        <v>75</v>
      </c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</row>
    <row r="50" ht="18.75" customHeight="1">
      <c r="A50" s="31">
        <v>4951.0</v>
      </c>
      <c r="B50" s="32" t="s">
        <v>186</v>
      </c>
      <c r="C50" s="32" t="s">
        <v>162</v>
      </c>
      <c r="D50" s="32" t="s">
        <v>94</v>
      </c>
      <c r="E50" s="33">
        <v>8.0</v>
      </c>
      <c r="F50" s="33">
        <v>457.0</v>
      </c>
      <c r="G50" s="34">
        <v>22102.0</v>
      </c>
      <c r="H50" s="31">
        <v>3.0</v>
      </c>
      <c r="I50" s="35" t="s">
        <v>76</v>
      </c>
      <c r="J50" s="35" t="s">
        <v>76</v>
      </c>
      <c r="K50" s="35" t="s">
        <v>76</v>
      </c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</row>
    <row r="51" ht="18.75" customHeight="1">
      <c r="A51" s="31">
        <v>5160.0</v>
      </c>
      <c r="B51" s="32" t="s">
        <v>187</v>
      </c>
      <c r="C51" s="32" t="s">
        <v>188</v>
      </c>
      <c r="D51" s="32" t="s">
        <v>100</v>
      </c>
      <c r="E51" s="33">
        <v>5.0</v>
      </c>
      <c r="F51" s="33">
        <v>705.0</v>
      </c>
      <c r="G51" s="34">
        <v>34359.0</v>
      </c>
      <c r="H51" s="31">
        <v>4.0</v>
      </c>
      <c r="I51" s="35" t="s">
        <v>76</v>
      </c>
      <c r="J51" s="35" t="s">
        <v>76</v>
      </c>
      <c r="K51" s="35" t="s">
        <v>76</v>
      </c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</row>
    <row r="52" ht="18.75" customHeight="1">
      <c r="A52" s="31">
        <v>2845.0</v>
      </c>
      <c r="B52" s="32" t="s">
        <v>189</v>
      </c>
      <c r="C52" s="32" t="s">
        <v>190</v>
      </c>
      <c r="D52" s="32" t="s">
        <v>91</v>
      </c>
      <c r="E52" s="33">
        <v>13.0</v>
      </c>
      <c r="F52" s="33">
        <v>18.0</v>
      </c>
      <c r="G52" s="34">
        <v>25279.0</v>
      </c>
      <c r="H52" s="31">
        <v>2.0</v>
      </c>
      <c r="I52" s="35" t="s">
        <v>75</v>
      </c>
      <c r="J52" s="35" t="s">
        <v>75</v>
      </c>
      <c r="K52" s="35" t="s">
        <v>76</v>
      </c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</row>
    <row r="53" ht="18.75" customHeight="1">
      <c r="A53" s="31">
        <v>2677.0</v>
      </c>
      <c r="B53" s="32" t="s">
        <v>191</v>
      </c>
      <c r="C53" s="32" t="s">
        <v>192</v>
      </c>
      <c r="D53" s="32" t="s">
        <v>179</v>
      </c>
      <c r="E53" s="33">
        <v>11.0</v>
      </c>
      <c r="F53" s="33">
        <v>33.0</v>
      </c>
      <c r="G53" s="34">
        <v>23489.0</v>
      </c>
      <c r="H53" s="31">
        <v>6.0</v>
      </c>
      <c r="I53" s="35" t="s">
        <v>75</v>
      </c>
      <c r="J53" s="35" t="s">
        <v>76</v>
      </c>
      <c r="K53" s="35" t="s">
        <v>75</v>
      </c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</row>
    <row r="54" ht="18.75" customHeight="1">
      <c r="A54" s="31">
        <v>2656.0</v>
      </c>
      <c r="B54" s="32" t="s">
        <v>193</v>
      </c>
      <c r="C54" s="32" t="s">
        <v>194</v>
      </c>
      <c r="D54" s="32" t="s">
        <v>85</v>
      </c>
      <c r="E54" s="33">
        <v>6.0</v>
      </c>
      <c r="F54" s="33">
        <v>829.0</v>
      </c>
      <c r="G54" s="34">
        <v>31058.0</v>
      </c>
      <c r="H54" s="31">
        <v>5.0</v>
      </c>
      <c r="I54" s="35" t="s">
        <v>75</v>
      </c>
      <c r="J54" s="35" t="s">
        <v>76</v>
      </c>
      <c r="K54" s="35" t="s">
        <v>76</v>
      </c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</row>
    <row r="55" ht="18.75" customHeight="1">
      <c r="A55" s="31">
        <v>3601.0</v>
      </c>
      <c r="B55" s="32" t="s">
        <v>195</v>
      </c>
      <c r="C55" s="32" t="s">
        <v>183</v>
      </c>
      <c r="D55" s="32" t="s">
        <v>100</v>
      </c>
      <c r="E55" s="33">
        <v>7.0</v>
      </c>
      <c r="F55" s="33">
        <v>475.0</v>
      </c>
      <c r="G55" s="36">
        <v>20738.0</v>
      </c>
      <c r="H55" s="31">
        <v>5.0</v>
      </c>
      <c r="I55" s="35" t="s">
        <v>75</v>
      </c>
      <c r="J55" s="35" t="s">
        <v>75</v>
      </c>
      <c r="K55" s="35" t="s">
        <v>76</v>
      </c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</row>
    <row r="56" ht="18.75" customHeight="1">
      <c r="A56" s="31">
        <v>3033.0</v>
      </c>
      <c r="B56" s="32" t="s">
        <v>196</v>
      </c>
      <c r="C56" s="32" t="s">
        <v>197</v>
      </c>
      <c r="D56" s="32" t="s">
        <v>125</v>
      </c>
      <c r="E56" s="33">
        <v>11.0</v>
      </c>
      <c r="F56" s="33">
        <v>121.0</v>
      </c>
      <c r="G56" s="34">
        <v>33786.0</v>
      </c>
      <c r="H56" s="31">
        <v>9.0</v>
      </c>
      <c r="I56" s="35" t="s">
        <v>76</v>
      </c>
      <c r="J56" s="35" t="s">
        <v>76</v>
      </c>
      <c r="K56" s="35" t="s">
        <v>75</v>
      </c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</row>
    <row r="57" ht="18.75" customHeight="1">
      <c r="A57" s="31">
        <v>5523.0</v>
      </c>
      <c r="B57" s="32" t="s">
        <v>198</v>
      </c>
      <c r="C57" s="32" t="s">
        <v>199</v>
      </c>
      <c r="D57" s="32" t="s">
        <v>97</v>
      </c>
      <c r="E57" s="33">
        <v>15.0</v>
      </c>
      <c r="F57" s="33">
        <v>59.0</v>
      </c>
      <c r="G57" s="34">
        <v>22434.0</v>
      </c>
      <c r="H57" s="31">
        <v>7.0</v>
      </c>
      <c r="I57" s="35" t="s">
        <v>75</v>
      </c>
      <c r="J57" s="35" t="s">
        <v>76</v>
      </c>
      <c r="K57" s="35" t="s">
        <v>76</v>
      </c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</row>
    <row r="58" ht="18.75" customHeight="1">
      <c r="A58" s="31">
        <v>2857.0</v>
      </c>
      <c r="B58" s="32" t="s">
        <v>200</v>
      </c>
      <c r="C58" s="32" t="s">
        <v>201</v>
      </c>
      <c r="D58" s="32" t="s">
        <v>100</v>
      </c>
      <c r="E58" s="33">
        <v>7.0</v>
      </c>
      <c r="F58" s="33">
        <v>37.0</v>
      </c>
      <c r="G58" s="34">
        <v>33609.0</v>
      </c>
      <c r="H58" s="31">
        <v>9.0</v>
      </c>
      <c r="I58" s="35" t="s">
        <v>75</v>
      </c>
      <c r="J58" s="35" t="s">
        <v>76</v>
      </c>
      <c r="K58" s="35" t="s">
        <v>75</v>
      </c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</row>
    <row r="59" ht="18.75" customHeight="1">
      <c r="A59" s="31">
        <v>2629.0</v>
      </c>
      <c r="B59" s="32" t="s">
        <v>202</v>
      </c>
      <c r="C59" s="32" t="s">
        <v>203</v>
      </c>
      <c r="D59" s="32" t="s">
        <v>97</v>
      </c>
      <c r="E59" s="33">
        <v>5.0</v>
      </c>
      <c r="F59" s="33">
        <v>52.0</v>
      </c>
      <c r="G59" s="34">
        <v>34820.0</v>
      </c>
      <c r="H59" s="31">
        <v>2.0</v>
      </c>
      <c r="I59" s="35" t="s">
        <v>75</v>
      </c>
      <c r="J59" s="35" t="s">
        <v>76</v>
      </c>
      <c r="K59" s="35" t="s">
        <v>75</v>
      </c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</row>
    <row r="60" ht="18.75" customHeight="1">
      <c r="A60" s="31">
        <v>3575.0</v>
      </c>
      <c r="B60" s="32" t="s">
        <v>204</v>
      </c>
      <c r="C60" s="32" t="s">
        <v>81</v>
      </c>
      <c r="D60" s="32" t="s">
        <v>82</v>
      </c>
      <c r="E60" s="33">
        <v>4.0</v>
      </c>
      <c r="F60" s="33">
        <v>307.0</v>
      </c>
      <c r="G60" s="34">
        <v>30505.0</v>
      </c>
      <c r="H60" s="31">
        <v>9.0</v>
      </c>
      <c r="I60" s="35" t="s">
        <v>75</v>
      </c>
      <c r="J60" s="35" t="s">
        <v>75</v>
      </c>
      <c r="K60" s="35" t="s">
        <v>75</v>
      </c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</row>
    <row r="61" ht="18.75" customHeight="1">
      <c r="A61" s="31">
        <v>4456.0</v>
      </c>
      <c r="B61" s="32" t="s">
        <v>205</v>
      </c>
      <c r="C61" s="32" t="s">
        <v>206</v>
      </c>
      <c r="D61" s="32" t="s">
        <v>79</v>
      </c>
      <c r="E61" s="33">
        <v>5.0</v>
      </c>
      <c r="F61" s="33">
        <v>926.0</v>
      </c>
      <c r="G61" s="36">
        <v>21839.0</v>
      </c>
      <c r="H61" s="31">
        <v>8.0</v>
      </c>
      <c r="I61" s="35" t="s">
        <v>76</v>
      </c>
      <c r="J61" s="35" t="s">
        <v>75</v>
      </c>
      <c r="K61" s="35" t="s">
        <v>75</v>
      </c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</row>
    <row r="62" ht="18.75" customHeight="1">
      <c r="A62" s="31">
        <v>5049.0</v>
      </c>
      <c r="B62" s="32" t="s">
        <v>207</v>
      </c>
      <c r="C62" s="32" t="s">
        <v>208</v>
      </c>
      <c r="D62" s="32" t="s">
        <v>97</v>
      </c>
      <c r="E62" s="33">
        <v>4.0</v>
      </c>
      <c r="F62" s="33">
        <v>714.0</v>
      </c>
      <c r="G62" s="36">
        <v>33566.0</v>
      </c>
      <c r="H62" s="31">
        <v>8.0</v>
      </c>
      <c r="I62" s="35" t="s">
        <v>76</v>
      </c>
      <c r="J62" s="35" t="s">
        <v>75</v>
      </c>
      <c r="K62" s="35" t="s">
        <v>76</v>
      </c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</row>
    <row r="63" ht="18.75" customHeight="1">
      <c r="A63" s="31">
        <v>3065.0</v>
      </c>
      <c r="B63" s="32" t="s">
        <v>209</v>
      </c>
      <c r="C63" s="32" t="s">
        <v>73</v>
      </c>
      <c r="D63" s="32" t="s">
        <v>74</v>
      </c>
      <c r="E63" s="33">
        <v>6.0</v>
      </c>
      <c r="F63" s="33">
        <v>127.0</v>
      </c>
      <c r="G63" s="34">
        <v>24608.0</v>
      </c>
      <c r="H63" s="31">
        <v>4.0</v>
      </c>
      <c r="I63" s="35" t="s">
        <v>76</v>
      </c>
      <c r="J63" s="35" t="s">
        <v>75</v>
      </c>
      <c r="K63" s="35" t="s">
        <v>76</v>
      </c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</row>
    <row r="64" ht="18.75" customHeight="1">
      <c r="A64" s="31">
        <v>3868.0</v>
      </c>
      <c r="B64" s="32" t="s">
        <v>72</v>
      </c>
      <c r="C64" s="32" t="s">
        <v>73</v>
      </c>
      <c r="D64" s="32" t="s">
        <v>74</v>
      </c>
      <c r="E64" s="33">
        <v>7.0</v>
      </c>
      <c r="F64" s="33">
        <v>867.0</v>
      </c>
      <c r="G64" s="34">
        <v>24495.0</v>
      </c>
      <c r="H64" s="31">
        <v>4.0</v>
      </c>
      <c r="I64" s="35" t="s">
        <v>75</v>
      </c>
      <c r="J64" s="35" t="s">
        <v>76</v>
      </c>
      <c r="K64" s="35" t="s">
        <v>76</v>
      </c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</row>
    <row r="65" ht="18.75" customHeight="1">
      <c r="A65" s="31">
        <v>5054.0</v>
      </c>
      <c r="B65" s="32" t="s">
        <v>77</v>
      </c>
      <c r="C65" s="32" t="s">
        <v>78</v>
      </c>
      <c r="D65" s="32" t="s">
        <v>79</v>
      </c>
      <c r="E65" s="33">
        <v>4.0</v>
      </c>
      <c r="F65" s="33">
        <v>712.0</v>
      </c>
      <c r="G65" s="34">
        <v>23755.0</v>
      </c>
      <c r="H65" s="31">
        <v>6.0</v>
      </c>
      <c r="I65" s="35" t="s">
        <v>76</v>
      </c>
      <c r="J65" s="35" t="s">
        <v>75</v>
      </c>
      <c r="K65" s="35" t="s">
        <v>75</v>
      </c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</row>
    <row r="66" ht="18.75" customHeight="1">
      <c r="A66" s="31">
        <v>5343.0</v>
      </c>
      <c r="B66" s="32" t="s">
        <v>80</v>
      </c>
      <c r="C66" s="32" t="s">
        <v>81</v>
      </c>
      <c r="D66" s="32" t="s">
        <v>82</v>
      </c>
      <c r="E66" s="33">
        <v>11.0</v>
      </c>
      <c r="F66" s="33">
        <v>616.0</v>
      </c>
      <c r="G66" s="36">
        <v>30634.0</v>
      </c>
      <c r="H66" s="31">
        <v>7.0</v>
      </c>
      <c r="I66" s="35" t="s">
        <v>75</v>
      </c>
      <c r="J66" s="35" t="s">
        <v>75</v>
      </c>
      <c r="K66" s="35" t="s">
        <v>76</v>
      </c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</row>
    <row r="67" ht="18.75" customHeight="1">
      <c r="A67" s="31">
        <v>3675.0</v>
      </c>
      <c r="B67" s="32" t="s">
        <v>83</v>
      </c>
      <c r="C67" s="32" t="s">
        <v>84</v>
      </c>
      <c r="D67" s="32" t="s">
        <v>85</v>
      </c>
      <c r="E67" s="33">
        <v>8.0</v>
      </c>
      <c r="F67" s="33">
        <v>882.0</v>
      </c>
      <c r="G67" s="34">
        <v>24574.0</v>
      </c>
      <c r="H67" s="31">
        <v>6.0</v>
      </c>
      <c r="I67" s="35" t="s">
        <v>75</v>
      </c>
      <c r="J67" s="35" t="s">
        <v>75</v>
      </c>
      <c r="K67" s="35" t="s">
        <v>75</v>
      </c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</row>
    <row r="68" ht="18.75" customHeight="1">
      <c r="A68" s="31">
        <v>4074.0</v>
      </c>
      <c r="B68" s="32" t="s">
        <v>86</v>
      </c>
      <c r="C68" s="32" t="s">
        <v>87</v>
      </c>
      <c r="D68" s="32" t="s">
        <v>88</v>
      </c>
      <c r="E68" s="33">
        <v>10.0</v>
      </c>
      <c r="F68" s="33">
        <v>78.0</v>
      </c>
      <c r="G68" s="34">
        <v>34709.0</v>
      </c>
      <c r="H68" s="31">
        <v>9.0</v>
      </c>
      <c r="I68" s="35" t="s">
        <v>76</v>
      </c>
      <c r="J68" s="35" t="s">
        <v>75</v>
      </c>
      <c r="K68" s="35" t="s">
        <v>75</v>
      </c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</row>
    <row r="69" ht="18.75" customHeight="1">
      <c r="A69" s="31">
        <v>3972.0</v>
      </c>
      <c r="B69" s="32" t="s">
        <v>89</v>
      </c>
      <c r="C69" s="32" t="s">
        <v>90</v>
      </c>
      <c r="D69" s="32" t="s">
        <v>91</v>
      </c>
      <c r="E69" s="33">
        <v>11.0</v>
      </c>
      <c r="F69" s="33">
        <v>347.0</v>
      </c>
      <c r="G69" s="34">
        <v>28942.0</v>
      </c>
      <c r="H69" s="31">
        <v>9.0</v>
      </c>
      <c r="I69" s="35" t="s">
        <v>75</v>
      </c>
      <c r="J69" s="35" t="s">
        <v>76</v>
      </c>
      <c r="K69" s="35" t="s">
        <v>75</v>
      </c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</row>
    <row r="70" ht="18.75" customHeight="1">
      <c r="A70" s="31">
        <v>4619.0</v>
      </c>
      <c r="B70" s="32" t="s">
        <v>92</v>
      </c>
      <c r="C70" s="32" t="s">
        <v>93</v>
      </c>
      <c r="D70" s="32" t="s">
        <v>94</v>
      </c>
      <c r="E70" s="33">
        <v>1.0</v>
      </c>
      <c r="F70" s="33">
        <v>113.0</v>
      </c>
      <c r="G70" s="34">
        <v>20901.0</v>
      </c>
      <c r="H70" s="31">
        <v>4.0</v>
      </c>
      <c r="I70" s="35" t="s">
        <v>75</v>
      </c>
      <c r="J70" s="35" t="s">
        <v>76</v>
      </c>
      <c r="K70" s="35" t="s">
        <v>76</v>
      </c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</row>
    <row r="71" ht="18.75" customHeight="1">
      <c r="A71" s="31">
        <v>2910.0</v>
      </c>
      <c r="B71" s="32" t="s">
        <v>95</v>
      </c>
      <c r="C71" s="32" t="s">
        <v>96</v>
      </c>
      <c r="D71" s="32" t="s">
        <v>97</v>
      </c>
      <c r="E71" s="33">
        <v>14.0</v>
      </c>
      <c r="F71" s="33">
        <v>105.0</v>
      </c>
      <c r="G71" s="34">
        <v>25115.0</v>
      </c>
      <c r="H71" s="31">
        <v>10.0</v>
      </c>
      <c r="I71" s="35" t="s">
        <v>75</v>
      </c>
      <c r="J71" s="35" t="s">
        <v>76</v>
      </c>
      <c r="K71" s="35" t="s">
        <v>75</v>
      </c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</row>
    <row r="72" ht="18.75" customHeight="1">
      <c r="A72" s="31">
        <v>3700.0</v>
      </c>
      <c r="B72" s="32" t="s">
        <v>98</v>
      </c>
      <c r="C72" s="32" t="s">
        <v>99</v>
      </c>
      <c r="D72" s="32" t="s">
        <v>100</v>
      </c>
      <c r="E72" s="33">
        <v>12.0</v>
      </c>
      <c r="F72" s="33">
        <v>629.0</v>
      </c>
      <c r="G72" s="34">
        <v>31679.0</v>
      </c>
      <c r="H72" s="31">
        <v>7.0</v>
      </c>
      <c r="I72" s="35" t="s">
        <v>76</v>
      </c>
      <c r="J72" s="35" t="s">
        <v>75</v>
      </c>
      <c r="K72" s="35" t="s">
        <v>76</v>
      </c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</row>
    <row r="73" ht="18.75" customHeight="1">
      <c r="A73" s="31">
        <v>5052.0</v>
      </c>
      <c r="B73" s="32" t="s">
        <v>101</v>
      </c>
      <c r="C73" s="32" t="s">
        <v>102</v>
      </c>
      <c r="D73" s="32" t="s">
        <v>88</v>
      </c>
      <c r="E73" s="33">
        <v>2.0</v>
      </c>
      <c r="F73" s="33">
        <v>33.0</v>
      </c>
      <c r="G73" s="34">
        <v>26071.0</v>
      </c>
      <c r="H73" s="31">
        <v>10.0</v>
      </c>
      <c r="I73" s="35" t="s">
        <v>76</v>
      </c>
      <c r="J73" s="35" t="s">
        <v>76</v>
      </c>
      <c r="K73" s="35" t="s">
        <v>75</v>
      </c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</row>
    <row r="74" ht="18.75" customHeight="1">
      <c r="A74" s="31">
        <v>2518.0</v>
      </c>
      <c r="B74" s="32" t="s">
        <v>103</v>
      </c>
      <c r="C74" s="32" t="s">
        <v>104</v>
      </c>
      <c r="D74" s="32" t="s">
        <v>105</v>
      </c>
      <c r="E74" s="33">
        <v>13.0</v>
      </c>
      <c r="F74" s="33">
        <v>343.0</v>
      </c>
      <c r="G74" s="36">
        <v>20379.0</v>
      </c>
      <c r="H74" s="31">
        <v>4.0</v>
      </c>
      <c r="I74" s="35" t="s">
        <v>76</v>
      </c>
      <c r="J74" s="35" t="s">
        <v>75</v>
      </c>
      <c r="K74" s="35" t="s">
        <v>75</v>
      </c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</row>
    <row r="75" ht="18.75" customHeight="1">
      <c r="A75" s="31">
        <v>4553.0</v>
      </c>
      <c r="B75" s="32" t="s">
        <v>106</v>
      </c>
      <c r="C75" s="32" t="s">
        <v>107</v>
      </c>
      <c r="D75" s="32" t="s">
        <v>105</v>
      </c>
      <c r="E75" s="33">
        <v>10.0</v>
      </c>
      <c r="F75" s="33">
        <v>72.0</v>
      </c>
      <c r="G75" s="34">
        <v>20585.0</v>
      </c>
      <c r="H75" s="31">
        <v>5.0</v>
      </c>
      <c r="I75" s="35" t="s">
        <v>75</v>
      </c>
      <c r="J75" s="35" t="s">
        <v>75</v>
      </c>
      <c r="K75" s="35" t="s">
        <v>75</v>
      </c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</row>
    <row r="76" ht="18.75" customHeight="1">
      <c r="A76" s="31">
        <v>4343.0</v>
      </c>
      <c r="B76" s="32" t="s">
        <v>108</v>
      </c>
      <c r="C76" s="32" t="s">
        <v>109</v>
      </c>
      <c r="D76" s="32" t="s">
        <v>88</v>
      </c>
      <c r="E76" s="33">
        <v>15.0</v>
      </c>
      <c r="F76" s="33">
        <v>80.0</v>
      </c>
      <c r="G76" s="34">
        <v>27395.0</v>
      </c>
      <c r="H76" s="31">
        <v>2.0</v>
      </c>
      <c r="I76" s="35" t="s">
        <v>76</v>
      </c>
      <c r="J76" s="35" t="s">
        <v>76</v>
      </c>
      <c r="K76" s="35" t="s">
        <v>75</v>
      </c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</row>
    <row r="77" ht="18.75" customHeight="1">
      <c r="A77" s="31">
        <v>3939.0</v>
      </c>
      <c r="B77" s="32" t="s">
        <v>110</v>
      </c>
      <c r="C77" s="32" t="s">
        <v>111</v>
      </c>
      <c r="D77" s="32" t="s">
        <v>105</v>
      </c>
      <c r="E77" s="33">
        <v>10.0</v>
      </c>
      <c r="F77" s="33">
        <v>501.0</v>
      </c>
      <c r="G77" s="36">
        <v>30252.0</v>
      </c>
      <c r="H77" s="31">
        <v>9.0</v>
      </c>
      <c r="I77" s="35" t="s">
        <v>76</v>
      </c>
      <c r="J77" s="35" t="s">
        <v>75</v>
      </c>
      <c r="K77" s="35" t="s">
        <v>76</v>
      </c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</row>
    <row r="78" ht="18.75" customHeight="1">
      <c r="A78" s="31">
        <v>3564.0</v>
      </c>
      <c r="B78" s="32" t="s">
        <v>112</v>
      </c>
      <c r="C78" s="32" t="s">
        <v>113</v>
      </c>
      <c r="D78" s="32" t="s">
        <v>114</v>
      </c>
      <c r="E78" s="33">
        <v>4.0</v>
      </c>
      <c r="F78" s="33">
        <v>870.0</v>
      </c>
      <c r="G78" s="34">
        <v>26477.0</v>
      </c>
      <c r="H78" s="31">
        <v>10.0</v>
      </c>
      <c r="I78" s="35" t="s">
        <v>75</v>
      </c>
      <c r="J78" s="35" t="s">
        <v>75</v>
      </c>
      <c r="K78" s="35" t="s">
        <v>75</v>
      </c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</row>
    <row r="79" ht="18.75" customHeight="1">
      <c r="A79" s="31">
        <v>4924.0</v>
      </c>
      <c r="B79" s="32" t="s">
        <v>115</v>
      </c>
      <c r="C79" s="32" t="s">
        <v>116</v>
      </c>
      <c r="D79" s="32" t="s">
        <v>79</v>
      </c>
      <c r="E79" s="33">
        <v>1.0</v>
      </c>
      <c r="F79" s="33">
        <v>432.0</v>
      </c>
      <c r="G79" s="34">
        <v>26551.0</v>
      </c>
      <c r="H79" s="31">
        <v>4.0</v>
      </c>
      <c r="I79" s="35" t="s">
        <v>76</v>
      </c>
      <c r="J79" s="35" t="s">
        <v>75</v>
      </c>
      <c r="K79" s="35" t="s">
        <v>76</v>
      </c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</row>
    <row r="80" ht="18.75" customHeight="1">
      <c r="A80" s="31">
        <v>3067.0</v>
      </c>
      <c r="B80" s="32" t="s">
        <v>117</v>
      </c>
      <c r="C80" s="32" t="s">
        <v>118</v>
      </c>
      <c r="D80" s="32" t="s">
        <v>100</v>
      </c>
      <c r="E80" s="33">
        <v>14.0</v>
      </c>
      <c r="F80" s="33">
        <v>164.0</v>
      </c>
      <c r="G80" s="34">
        <v>34484.0</v>
      </c>
      <c r="H80" s="31">
        <v>10.0</v>
      </c>
      <c r="I80" s="35" t="s">
        <v>75</v>
      </c>
      <c r="J80" s="35" t="s">
        <v>76</v>
      </c>
      <c r="K80" s="35" t="s">
        <v>75</v>
      </c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</row>
    <row r="81" ht="18.75" customHeight="1">
      <c r="A81" s="31">
        <v>3048.0</v>
      </c>
      <c r="B81" s="32" t="s">
        <v>119</v>
      </c>
      <c r="C81" s="32" t="s">
        <v>120</v>
      </c>
      <c r="D81" s="32" t="s">
        <v>97</v>
      </c>
      <c r="E81" s="33">
        <v>8.0</v>
      </c>
      <c r="F81" s="33">
        <v>312.0</v>
      </c>
      <c r="G81" s="36">
        <v>24100.0</v>
      </c>
      <c r="H81" s="31">
        <v>6.0</v>
      </c>
      <c r="I81" s="35" t="s">
        <v>75</v>
      </c>
      <c r="J81" s="35" t="s">
        <v>76</v>
      </c>
      <c r="K81" s="35" t="s">
        <v>75</v>
      </c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</row>
    <row r="82" ht="18.75" customHeight="1">
      <c r="A82" s="31">
        <v>3380.0</v>
      </c>
      <c r="B82" s="32" t="s">
        <v>121</v>
      </c>
      <c r="C82" s="32" t="s">
        <v>122</v>
      </c>
      <c r="D82" s="32" t="s">
        <v>94</v>
      </c>
      <c r="E82" s="33">
        <v>1.0</v>
      </c>
      <c r="F82" s="33">
        <v>104.0</v>
      </c>
      <c r="G82" s="36">
        <v>35002.0</v>
      </c>
      <c r="H82" s="31">
        <v>10.0</v>
      </c>
      <c r="I82" s="35" t="s">
        <v>75</v>
      </c>
      <c r="J82" s="35" t="s">
        <v>76</v>
      </c>
      <c r="K82" s="35" t="s">
        <v>76</v>
      </c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</row>
    <row r="83" ht="18.75" customHeight="1">
      <c r="A83" s="31">
        <v>3077.0</v>
      </c>
      <c r="B83" s="32" t="s">
        <v>123</v>
      </c>
      <c r="C83" s="32" t="s">
        <v>124</v>
      </c>
      <c r="D83" s="32" t="s">
        <v>125</v>
      </c>
      <c r="E83" s="33">
        <v>1.0</v>
      </c>
      <c r="F83" s="33">
        <v>692.0</v>
      </c>
      <c r="G83" s="34">
        <v>29621.0</v>
      </c>
      <c r="H83" s="31">
        <v>9.0</v>
      </c>
      <c r="I83" s="35" t="s">
        <v>75</v>
      </c>
      <c r="J83" s="35" t="s">
        <v>75</v>
      </c>
      <c r="K83" s="35" t="s">
        <v>75</v>
      </c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</row>
    <row r="84" ht="18.75" customHeight="1">
      <c r="A84" s="31">
        <v>4312.0</v>
      </c>
      <c r="B84" s="32" t="s">
        <v>126</v>
      </c>
      <c r="C84" s="32" t="s">
        <v>127</v>
      </c>
      <c r="D84" s="32" t="s">
        <v>94</v>
      </c>
      <c r="E84" s="33">
        <v>14.0</v>
      </c>
      <c r="F84" s="33">
        <v>374.0</v>
      </c>
      <c r="G84" s="34">
        <v>33842.0</v>
      </c>
      <c r="H84" s="31">
        <v>1.0</v>
      </c>
      <c r="I84" s="35" t="s">
        <v>76</v>
      </c>
      <c r="J84" s="35" t="s">
        <v>76</v>
      </c>
      <c r="K84" s="35" t="s">
        <v>76</v>
      </c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</row>
    <row r="85" ht="18.75" customHeight="1">
      <c r="A85" s="31">
        <v>3363.0</v>
      </c>
      <c r="B85" s="32" t="s">
        <v>128</v>
      </c>
      <c r="C85" s="32" t="s">
        <v>129</v>
      </c>
      <c r="D85" s="32" t="s">
        <v>94</v>
      </c>
      <c r="E85" s="33">
        <v>7.0</v>
      </c>
      <c r="F85" s="33">
        <v>670.0</v>
      </c>
      <c r="G85" s="34">
        <v>24941.0</v>
      </c>
      <c r="H85" s="31">
        <v>8.0</v>
      </c>
      <c r="I85" s="35" t="s">
        <v>76</v>
      </c>
      <c r="J85" s="35" t="s">
        <v>76</v>
      </c>
      <c r="K85" s="35" t="s">
        <v>76</v>
      </c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</row>
    <row r="86" ht="18.75" customHeight="1">
      <c r="A86" s="31">
        <v>2986.0</v>
      </c>
      <c r="B86" s="32" t="s">
        <v>130</v>
      </c>
      <c r="C86" s="32" t="s">
        <v>131</v>
      </c>
      <c r="D86" s="32" t="s">
        <v>132</v>
      </c>
      <c r="E86" s="33">
        <v>15.0</v>
      </c>
      <c r="F86" s="33">
        <v>85.0</v>
      </c>
      <c r="G86" s="34">
        <v>31483.0</v>
      </c>
      <c r="H86" s="31">
        <v>8.0</v>
      </c>
      <c r="I86" s="35" t="s">
        <v>76</v>
      </c>
      <c r="J86" s="35" t="s">
        <v>75</v>
      </c>
      <c r="K86" s="35" t="s">
        <v>75</v>
      </c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</row>
    <row r="87" ht="18.75" customHeight="1">
      <c r="A87" s="31">
        <v>3215.0</v>
      </c>
      <c r="B87" s="32" t="s">
        <v>133</v>
      </c>
      <c r="C87" s="32" t="s">
        <v>134</v>
      </c>
      <c r="D87" s="32" t="s">
        <v>97</v>
      </c>
      <c r="E87" s="33">
        <v>14.0</v>
      </c>
      <c r="F87" s="33">
        <v>771.0</v>
      </c>
      <c r="G87" s="34">
        <v>29033.0</v>
      </c>
      <c r="H87" s="31">
        <v>2.0</v>
      </c>
      <c r="I87" s="35" t="s">
        <v>75</v>
      </c>
      <c r="J87" s="35" t="s">
        <v>76</v>
      </c>
      <c r="K87" s="35" t="s">
        <v>76</v>
      </c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</row>
    <row r="88" ht="18.75" customHeight="1">
      <c r="A88" s="31">
        <v>3753.0</v>
      </c>
      <c r="B88" s="32" t="s">
        <v>135</v>
      </c>
      <c r="C88" s="32" t="s">
        <v>136</v>
      </c>
      <c r="D88" s="32" t="s">
        <v>94</v>
      </c>
      <c r="E88" s="33">
        <v>6.0</v>
      </c>
      <c r="F88" s="33">
        <v>421.0</v>
      </c>
      <c r="G88" s="34">
        <v>21163.0</v>
      </c>
      <c r="H88" s="31">
        <v>9.0</v>
      </c>
      <c r="I88" s="35" t="s">
        <v>76</v>
      </c>
      <c r="J88" s="35" t="s">
        <v>75</v>
      </c>
      <c r="K88" s="35" t="s">
        <v>75</v>
      </c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</row>
    <row r="89" ht="18.75" customHeight="1">
      <c r="A89" s="31">
        <v>5529.0</v>
      </c>
      <c r="B89" s="32" t="s">
        <v>137</v>
      </c>
      <c r="C89" s="32" t="s">
        <v>138</v>
      </c>
      <c r="D89" s="32" t="s">
        <v>139</v>
      </c>
      <c r="E89" s="33">
        <v>13.0</v>
      </c>
      <c r="F89" s="33">
        <v>851.0</v>
      </c>
      <c r="G89" s="34">
        <v>34176.0</v>
      </c>
      <c r="H89" s="31">
        <v>5.0</v>
      </c>
      <c r="I89" s="35" t="s">
        <v>75</v>
      </c>
      <c r="J89" s="35" t="s">
        <v>75</v>
      </c>
      <c r="K89" s="35" t="s">
        <v>75</v>
      </c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</row>
    <row r="90" ht="18.75" customHeight="1">
      <c r="A90" s="31">
        <v>4046.0</v>
      </c>
      <c r="B90" s="32" t="s">
        <v>140</v>
      </c>
      <c r="C90" s="32" t="s">
        <v>141</v>
      </c>
      <c r="D90" s="32" t="s">
        <v>100</v>
      </c>
      <c r="E90" s="33">
        <v>1.0</v>
      </c>
      <c r="F90" s="33">
        <v>129.0</v>
      </c>
      <c r="G90" s="34">
        <v>33118.0</v>
      </c>
      <c r="H90" s="31">
        <v>2.0</v>
      </c>
      <c r="I90" s="35" t="s">
        <v>75</v>
      </c>
      <c r="J90" s="35" t="s">
        <v>75</v>
      </c>
      <c r="K90" s="35" t="s">
        <v>76</v>
      </c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</row>
    <row r="91" ht="18.75" customHeight="1">
      <c r="A91" s="31">
        <v>4431.0</v>
      </c>
      <c r="B91" s="32" t="s">
        <v>72</v>
      </c>
      <c r="C91" s="32" t="s">
        <v>73</v>
      </c>
      <c r="D91" s="32" t="s">
        <v>74</v>
      </c>
      <c r="E91" s="33">
        <v>11.0</v>
      </c>
      <c r="F91" s="33">
        <v>607.0</v>
      </c>
      <c r="G91" s="36">
        <v>28058.0</v>
      </c>
      <c r="H91" s="31">
        <v>4.0</v>
      </c>
      <c r="I91" s="35" t="s">
        <v>75</v>
      </c>
      <c r="J91" s="35" t="s">
        <v>75</v>
      </c>
      <c r="K91" s="35" t="s">
        <v>75</v>
      </c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</row>
    <row r="92" ht="18.75" customHeight="1">
      <c r="A92" s="31">
        <v>5031.0</v>
      </c>
      <c r="B92" s="32" t="s">
        <v>77</v>
      </c>
      <c r="C92" s="32" t="s">
        <v>78</v>
      </c>
      <c r="D92" s="32" t="s">
        <v>79</v>
      </c>
      <c r="E92" s="33">
        <v>12.0</v>
      </c>
      <c r="F92" s="33">
        <v>626.0</v>
      </c>
      <c r="G92" s="36">
        <v>32065.0</v>
      </c>
      <c r="H92" s="31">
        <v>10.0</v>
      </c>
      <c r="I92" s="35" t="s">
        <v>76</v>
      </c>
      <c r="J92" s="35" t="s">
        <v>76</v>
      </c>
      <c r="K92" s="35" t="s">
        <v>75</v>
      </c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</row>
    <row r="93" ht="18.75" customHeight="1">
      <c r="A93" s="31">
        <v>3240.0</v>
      </c>
      <c r="B93" s="32" t="s">
        <v>80</v>
      </c>
      <c r="C93" s="32" t="s">
        <v>81</v>
      </c>
      <c r="D93" s="32" t="s">
        <v>82</v>
      </c>
      <c r="E93" s="33">
        <v>3.0</v>
      </c>
      <c r="F93" s="33">
        <v>458.0</v>
      </c>
      <c r="G93" s="34">
        <v>34867.0</v>
      </c>
      <c r="H93" s="31">
        <v>6.0</v>
      </c>
      <c r="I93" s="35" t="s">
        <v>75</v>
      </c>
      <c r="J93" s="35" t="s">
        <v>76</v>
      </c>
      <c r="K93" s="35" t="s">
        <v>75</v>
      </c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</row>
    <row r="94" ht="18.75" customHeight="1">
      <c r="A94" s="31">
        <v>3022.0</v>
      </c>
      <c r="B94" s="32" t="s">
        <v>83</v>
      </c>
      <c r="C94" s="32" t="s">
        <v>84</v>
      </c>
      <c r="D94" s="32" t="s">
        <v>85</v>
      </c>
      <c r="E94" s="33">
        <v>4.0</v>
      </c>
      <c r="F94" s="33">
        <v>827.0</v>
      </c>
      <c r="G94" s="36">
        <v>33583.0</v>
      </c>
      <c r="H94" s="31">
        <v>10.0</v>
      </c>
      <c r="I94" s="35" t="s">
        <v>76</v>
      </c>
      <c r="J94" s="35" t="s">
        <v>76</v>
      </c>
      <c r="K94" s="35" t="s">
        <v>75</v>
      </c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</row>
    <row r="95" ht="18.75" customHeight="1">
      <c r="A95" s="31">
        <v>5378.0</v>
      </c>
      <c r="B95" s="32" t="s">
        <v>86</v>
      </c>
      <c r="C95" s="32" t="s">
        <v>87</v>
      </c>
      <c r="D95" s="32" t="s">
        <v>88</v>
      </c>
      <c r="E95" s="33">
        <v>10.0</v>
      </c>
      <c r="F95" s="33">
        <v>115.0</v>
      </c>
      <c r="G95" s="34">
        <v>20168.0</v>
      </c>
      <c r="H95" s="31">
        <v>10.0</v>
      </c>
      <c r="I95" s="35" t="s">
        <v>75</v>
      </c>
      <c r="J95" s="35" t="s">
        <v>75</v>
      </c>
      <c r="K95" s="35" t="s">
        <v>75</v>
      </c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</row>
    <row r="96" ht="18.75" customHeight="1">
      <c r="A96" s="31">
        <v>3539.0</v>
      </c>
      <c r="B96" s="32" t="s">
        <v>89</v>
      </c>
      <c r="C96" s="32" t="s">
        <v>90</v>
      </c>
      <c r="D96" s="32" t="s">
        <v>91</v>
      </c>
      <c r="E96" s="33">
        <v>11.0</v>
      </c>
      <c r="F96" s="33">
        <v>780.0</v>
      </c>
      <c r="G96" s="34">
        <v>32922.0</v>
      </c>
      <c r="H96" s="31">
        <v>5.0</v>
      </c>
      <c r="I96" s="35" t="s">
        <v>75</v>
      </c>
      <c r="J96" s="35" t="s">
        <v>76</v>
      </c>
      <c r="K96" s="35" t="s">
        <v>75</v>
      </c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</row>
    <row r="97" ht="18.75" customHeight="1">
      <c r="A97" s="31">
        <v>3116.0</v>
      </c>
      <c r="B97" s="32" t="s">
        <v>92</v>
      </c>
      <c r="C97" s="32" t="s">
        <v>93</v>
      </c>
      <c r="D97" s="32" t="s">
        <v>94</v>
      </c>
      <c r="E97" s="33">
        <v>5.0</v>
      </c>
      <c r="F97" s="33">
        <v>713.0</v>
      </c>
      <c r="G97" s="34">
        <v>29009.0</v>
      </c>
      <c r="H97" s="31">
        <v>6.0</v>
      </c>
      <c r="I97" s="35" t="s">
        <v>75</v>
      </c>
      <c r="J97" s="35" t="s">
        <v>75</v>
      </c>
      <c r="K97" s="35" t="s">
        <v>76</v>
      </c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</row>
    <row r="98" ht="18.75" customHeight="1">
      <c r="A98" s="31">
        <v>5328.0</v>
      </c>
      <c r="B98" s="32" t="s">
        <v>95</v>
      </c>
      <c r="C98" s="32" t="s">
        <v>96</v>
      </c>
      <c r="D98" s="32" t="s">
        <v>97</v>
      </c>
      <c r="E98" s="33">
        <v>8.0</v>
      </c>
      <c r="F98" s="33">
        <v>242.0</v>
      </c>
      <c r="G98" s="34">
        <v>31533.0</v>
      </c>
      <c r="H98" s="31">
        <v>5.0</v>
      </c>
      <c r="I98" s="35" t="s">
        <v>75</v>
      </c>
      <c r="J98" s="35" t="s">
        <v>75</v>
      </c>
      <c r="K98" s="35" t="s">
        <v>75</v>
      </c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</row>
    <row r="99" ht="18.75" customHeight="1">
      <c r="A99" s="31">
        <v>5059.0</v>
      </c>
      <c r="B99" s="32" t="s">
        <v>98</v>
      </c>
      <c r="C99" s="32" t="s">
        <v>99</v>
      </c>
      <c r="D99" s="32" t="s">
        <v>100</v>
      </c>
      <c r="E99" s="33">
        <v>15.0</v>
      </c>
      <c r="F99" s="33">
        <v>26.0</v>
      </c>
      <c r="G99" s="34">
        <v>34599.0</v>
      </c>
      <c r="H99" s="31">
        <v>7.0</v>
      </c>
      <c r="I99" s="35" t="s">
        <v>76</v>
      </c>
      <c r="J99" s="35" t="s">
        <v>75</v>
      </c>
      <c r="K99" s="35" t="s">
        <v>75</v>
      </c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</row>
    <row r="100" ht="18.75" customHeight="1">
      <c r="A100" s="31">
        <v>2826.0</v>
      </c>
      <c r="B100" s="32" t="s">
        <v>101</v>
      </c>
      <c r="C100" s="32" t="s">
        <v>102</v>
      </c>
      <c r="D100" s="32" t="s">
        <v>88</v>
      </c>
      <c r="E100" s="33">
        <v>8.0</v>
      </c>
      <c r="F100" s="33">
        <v>391.0</v>
      </c>
      <c r="G100" s="34">
        <v>29103.0</v>
      </c>
      <c r="H100" s="31">
        <v>5.0</v>
      </c>
      <c r="I100" s="35" t="s">
        <v>75</v>
      </c>
      <c r="J100" s="35" t="s">
        <v>76</v>
      </c>
      <c r="K100" s="35" t="s">
        <v>75</v>
      </c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</row>
    <row r="101" ht="18.75" customHeight="1">
      <c r="A101" s="31">
        <v>3648.0</v>
      </c>
      <c r="B101" s="32" t="s">
        <v>103</v>
      </c>
      <c r="C101" s="32" t="s">
        <v>104</v>
      </c>
      <c r="D101" s="32" t="s">
        <v>105</v>
      </c>
      <c r="E101" s="33">
        <v>9.0</v>
      </c>
      <c r="F101" s="33">
        <v>620.0</v>
      </c>
      <c r="G101" s="34">
        <v>26039.0</v>
      </c>
      <c r="H101" s="31">
        <v>10.0</v>
      </c>
      <c r="I101" s="35" t="s">
        <v>76</v>
      </c>
      <c r="J101" s="35" t="s">
        <v>75</v>
      </c>
      <c r="K101" s="35" t="s">
        <v>75</v>
      </c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</row>
    <row r="102" ht="18.75" customHeight="1">
      <c r="A102" s="31">
        <v>5296.0</v>
      </c>
      <c r="B102" s="32" t="s">
        <v>106</v>
      </c>
      <c r="C102" s="32" t="s">
        <v>107</v>
      </c>
      <c r="D102" s="32" t="s">
        <v>105</v>
      </c>
      <c r="E102" s="33">
        <v>15.0</v>
      </c>
      <c r="F102" s="33">
        <v>807.0</v>
      </c>
      <c r="G102" s="34">
        <v>29100.0</v>
      </c>
      <c r="H102" s="31">
        <v>9.0</v>
      </c>
      <c r="I102" s="35" t="s">
        <v>75</v>
      </c>
      <c r="J102" s="35" t="s">
        <v>76</v>
      </c>
      <c r="K102" s="35" t="s">
        <v>75</v>
      </c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</row>
    <row r="103" ht="18.75" customHeight="1">
      <c r="A103" s="31">
        <v>4662.0</v>
      </c>
      <c r="B103" s="32" t="s">
        <v>108</v>
      </c>
      <c r="C103" s="32" t="s">
        <v>109</v>
      </c>
      <c r="D103" s="32" t="s">
        <v>88</v>
      </c>
      <c r="E103" s="33">
        <v>1.0</v>
      </c>
      <c r="F103" s="33">
        <v>417.0</v>
      </c>
      <c r="G103" s="34">
        <v>22115.0</v>
      </c>
      <c r="H103" s="31">
        <v>9.0</v>
      </c>
      <c r="I103" s="35" t="s">
        <v>75</v>
      </c>
      <c r="J103" s="35" t="s">
        <v>75</v>
      </c>
      <c r="K103" s="35" t="s">
        <v>75</v>
      </c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</row>
    <row r="104" ht="18.75" customHeight="1">
      <c r="A104" s="31">
        <v>2395.0</v>
      </c>
      <c r="B104" s="32" t="s">
        <v>110</v>
      </c>
      <c r="C104" s="32" t="s">
        <v>111</v>
      </c>
      <c r="D104" s="32" t="s">
        <v>105</v>
      </c>
      <c r="E104" s="33">
        <v>12.0</v>
      </c>
      <c r="F104" s="33">
        <v>709.0</v>
      </c>
      <c r="G104" s="34">
        <v>21225.0</v>
      </c>
      <c r="H104" s="31">
        <v>7.0</v>
      </c>
      <c r="I104" s="35" t="s">
        <v>76</v>
      </c>
      <c r="J104" s="35" t="s">
        <v>75</v>
      </c>
      <c r="K104" s="35" t="s">
        <v>76</v>
      </c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</row>
    <row r="105" ht="18.75" customHeight="1">
      <c r="A105" s="31">
        <v>4635.0</v>
      </c>
      <c r="B105" s="32" t="s">
        <v>112</v>
      </c>
      <c r="C105" s="32" t="s">
        <v>113</v>
      </c>
      <c r="D105" s="32" t="s">
        <v>114</v>
      </c>
      <c r="E105" s="33">
        <v>2.0</v>
      </c>
      <c r="F105" s="33">
        <v>604.0</v>
      </c>
      <c r="G105" s="34">
        <v>21210.0</v>
      </c>
      <c r="H105" s="31">
        <v>5.0</v>
      </c>
      <c r="I105" s="35" t="s">
        <v>75</v>
      </c>
      <c r="J105" s="35" t="s">
        <v>75</v>
      </c>
      <c r="K105" s="35" t="s">
        <v>76</v>
      </c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</row>
    <row r="106" ht="18.75" customHeight="1">
      <c r="A106" s="31">
        <v>2322.0</v>
      </c>
      <c r="B106" s="32" t="s">
        <v>72</v>
      </c>
      <c r="C106" s="32" t="s">
        <v>73</v>
      </c>
      <c r="D106" s="32" t="s">
        <v>74</v>
      </c>
      <c r="E106" s="33">
        <v>12.0</v>
      </c>
      <c r="F106" s="33">
        <v>867.0</v>
      </c>
      <c r="G106" s="36">
        <v>30981.0</v>
      </c>
      <c r="H106" s="31">
        <v>9.0</v>
      </c>
      <c r="I106" s="35" t="s">
        <v>76</v>
      </c>
      <c r="J106" s="35" t="s">
        <v>75</v>
      </c>
      <c r="K106" s="35" t="s">
        <v>76</v>
      </c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</row>
    <row r="107" ht="18.75" customHeight="1">
      <c r="A107" s="31">
        <v>5533.0</v>
      </c>
      <c r="B107" s="32" t="s">
        <v>77</v>
      </c>
      <c r="C107" s="32" t="s">
        <v>78</v>
      </c>
      <c r="D107" s="32" t="s">
        <v>79</v>
      </c>
      <c r="E107" s="33">
        <v>5.0</v>
      </c>
      <c r="F107" s="33">
        <v>466.0</v>
      </c>
      <c r="G107" s="34">
        <v>20678.0</v>
      </c>
      <c r="H107" s="31">
        <v>2.0</v>
      </c>
      <c r="I107" s="35" t="s">
        <v>76</v>
      </c>
      <c r="J107" s="35" t="s">
        <v>76</v>
      </c>
      <c r="K107" s="35" t="s">
        <v>75</v>
      </c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</row>
    <row r="108" ht="18.75" customHeight="1">
      <c r="A108" s="31">
        <v>4726.0</v>
      </c>
      <c r="B108" s="32" t="s">
        <v>80</v>
      </c>
      <c r="C108" s="32" t="s">
        <v>81</v>
      </c>
      <c r="D108" s="32" t="s">
        <v>82</v>
      </c>
      <c r="E108" s="33">
        <v>7.0</v>
      </c>
      <c r="F108" s="33">
        <v>502.0</v>
      </c>
      <c r="G108" s="34">
        <v>29847.0</v>
      </c>
      <c r="H108" s="31">
        <v>6.0</v>
      </c>
      <c r="I108" s="35" t="s">
        <v>75</v>
      </c>
      <c r="J108" s="35" t="s">
        <v>75</v>
      </c>
      <c r="K108" s="35" t="s">
        <v>75</v>
      </c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</row>
    <row r="109" ht="18.75" customHeight="1">
      <c r="A109" s="31">
        <v>2639.0</v>
      </c>
      <c r="B109" s="32" t="s">
        <v>83</v>
      </c>
      <c r="C109" s="32" t="s">
        <v>84</v>
      </c>
      <c r="D109" s="32" t="s">
        <v>85</v>
      </c>
      <c r="E109" s="33">
        <v>14.0</v>
      </c>
      <c r="F109" s="33">
        <v>813.0</v>
      </c>
      <c r="G109" s="34">
        <v>22699.0</v>
      </c>
      <c r="H109" s="31">
        <v>10.0</v>
      </c>
      <c r="I109" s="35" t="s">
        <v>76</v>
      </c>
      <c r="J109" s="35" t="s">
        <v>76</v>
      </c>
      <c r="K109" s="35" t="s">
        <v>75</v>
      </c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</row>
    <row r="110" ht="18.75" customHeight="1">
      <c r="A110" s="31">
        <v>5291.0</v>
      </c>
      <c r="B110" s="32" t="s">
        <v>72</v>
      </c>
      <c r="C110" s="32" t="s">
        <v>73</v>
      </c>
      <c r="D110" s="32" t="s">
        <v>74</v>
      </c>
      <c r="E110" s="33">
        <v>12.0</v>
      </c>
      <c r="F110" s="33">
        <v>597.0</v>
      </c>
      <c r="G110" s="34">
        <v>28343.0</v>
      </c>
      <c r="H110" s="31">
        <v>9.0</v>
      </c>
      <c r="I110" s="35" t="s">
        <v>75</v>
      </c>
      <c r="J110" s="35" t="s">
        <v>75</v>
      </c>
      <c r="K110" s="35" t="s">
        <v>75</v>
      </c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</row>
    <row r="111" ht="18.75" customHeight="1">
      <c r="A111" s="31">
        <v>3414.0</v>
      </c>
      <c r="B111" s="32" t="s">
        <v>77</v>
      </c>
      <c r="C111" s="32" t="s">
        <v>78</v>
      </c>
      <c r="D111" s="32" t="s">
        <v>79</v>
      </c>
      <c r="E111" s="33">
        <v>13.0</v>
      </c>
      <c r="F111" s="33">
        <v>541.0</v>
      </c>
      <c r="G111" s="34">
        <v>32609.0</v>
      </c>
      <c r="H111" s="31">
        <v>2.0</v>
      </c>
      <c r="I111" s="35" t="s">
        <v>75</v>
      </c>
      <c r="J111" s="35" t="s">
        <v>75</v>
      </c>
      <c r="K111" s="35" t="s">
        <v>75</v>
      </c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</row>
    <row r="112" ht="18.75" customHeight="1">
      <c r="A112" s="31">
        <v>4992.0</v>
      </c>
      <c r="B112" s="32" t="s">
        <v>80</v>
      </c>
      <c r="C112" s="32" t="s">
        <v>81</v>
      </c>
      <c r="D112" s="32" t="s">
        <v>82</v>
      </c>
      <c r="E112" s="33">
        <v>10.0</v>
      </c>
      <c r="F112" s="33">
        <v>160.0</v>
      </c>
      <c r="G112" s="34">
        <v>25834.0</v>
      </c>
      <c r="H112" s="31">
        <v>4.0</v>
      </c>
      <c r="I112" s="35" t="s">
        <v>76</v>
      </c>
      <c r="J112" s="35" t="s">
        <v>76</v>
      </c>
      <c r="K112" s="35" t="s">
        <v>76</v>
      </c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</row>
    <row r="113" ht="18.75" customHeight="1">
      <c r="A113" s="31">
        <v>4435.0</v>
      </c>
      <c r="B113" s="32" t="s">
        <v>83</v>
      </c>
      <c r="C113" s="32" t="s">
        <v>84</v>
      </c>
      <c r="D113" s="32" t="s">
        <v>85</v>
      </c>
      <c r="E113" s="33">
        <v>7.0</v>
      </c>
      <c r="F113" s="33">
        <v>990.0</v>
      </c>
      <c r="G113" s="34">
        <v>28891.0</v>
      </c>
      <c r="H113" s="31">
        <v>7.0</v>
      </c>
      <c r="I113" s="35" t="s">
        <v>75</v>
      </c>
      <c r="J113" s="35" t="s">
        <v>75</v>
      </c>
      <c r="K113" s="35" t="s">
        <v>75</v>
      </c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</row>
    <row r="114" ht="18.75" customHeight="1">
      <c r="A114" s="31">
        <v>2833.0</v>
      </c>
      <c r="B114" s="32" t="s">
        <v>72</v>
      </c>
      <c r="C114" s="32" t="s">
        <v>73</v>
      </c>
      <c r="D114" s="32" t="s">
        <v>74</v>
      </c>
      <c r="E114" s="33">
        <v>13.0</v>
      </c>
      <c r="F114" s="33">
        <v>701.0</v>
      </c>
      <c r="G114" s="36">
        <v>33199.0</v>
      </c>
      <c r="H114" s="31">
        <v>10.0</v>
      </c>
      <c r="I114" s="35" t="s">
        <v>75</v>
      </c>
      <c r="J114" s="35" t="s">
        <v>76</v>
      </c>
      <c r="K114" s="35" t="s">
        <v>76</v>
      </c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</row>
    <row r="115" ht="18.75" customHeight="1">
      <c r="A115" s="31">
        <v>3011.0</v>
      </c>
      <c r="B115" s="32" t="s">
        <v>210</v>
      </c>
      <c r="C115" s="32" t="s">
        <v>78</v>
      </c>
      <c r="D115" s="32" t="s">
        <v>79</v>
      </c>
      <c r="E115" s="33">
        <v>15.0</v>
      </c>
      <c r="F115" s="33">
        <v>267.0</v>
      </c>
      <c r="G115" s="36">
        <v>26225.0</v>
      </c>
      <c r="H115" s="31">
        <v>3.0</v>
      </c>
      <c r="I115" s="35" t="s">
        <v>75</v>
      </c>
      <c r="J115" s="35" t="s">
        <v>76</v>
      </c>
      <c r="K115" s="35" t="s">
        <v>75</v>
      </c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</row>
    <row r="116" ht="18.75" customHeight="1">
      <c r="A116" s="31">
        <v>4941.0</v>
      </c>
      <c r="B116" s="32" t="s">
        <v>80</v>
      </c>
      <c r="C116" s="32" t="s">
        <v>81</v>
      </c>
      <c r="D116" s="32" t="s">
        <v>82</v>
      </c>
      <c r="E116" s="33">
        <v>1.0</v>
      </c>
      <c r="F116" s="33">
        <v>406.0</v>
      </c>
      <c r="G116" s="34">
        <v>27628.0</v>
      </c>
      <c r="H116" s="31">
        <v>2.0</v>
      </c>
      <c r="I116" s="35" t="s">
        <v>75</v>
      </c>
      <c r="J116" s="35" t="s">
        <v>75</v>
      </c>
      <c r="K116" s="35" t="s">
        <v>75</v>
      </c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</row>
    <row r="117" ht="18.75" customHeight="1">
      <c r="A117" s="31">
        <v>3418.0</v>
      </c>
      <c r="B117" s="32" t="s">
        <v>83</v>
      </c>
      <c r="C117" s="32" t="s">
        <v>84</v>
      </c>
      <c r="D117" s="32" t="s">
        <v>85</v>
      </c>
      <c r="E117" s="33">
        <v>8.0</v>
      </c>
      <c r="F117" s="33">
        <v>523.0</v>
      </c>
      <c r="G117" s="34">
        <v>32368.0</v>
      </c>
      <c r="H117" s="31">
        <v>5.0</v>
      </c>
      <c r="I117" s="35" t="s">
        <v>75</v>
      </c>
      <c r="J117" s="35" t="s">
        <v>76</v>
      </c>
      <c r="K117" s="35" t="s">
        <v>76</v>
      </c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</row>
    <row r="118" ht="18.75" customHeight="1">
      <c r="A118" s="31">
        <v>4646.0</v>
      </c>
      <c r="B118" s="32" t="s">
        <v>72</v>
      </c>
      <c r="C118" s="32" t="s">
        <v>73</v>
      </c>
      <c r="D118" s="32" t="s">
        <v>74</v>
      </c>
      <c r="E118" s="33">
        <v>5.0</v>
      </c>
      <c r="F118" s="33">
        <v>966.0</v>
      </c>
      <c r="G118" s="34">
        <v>26913.0</v>
      </c>
      <c r="H118" s="31">
        <v>2.0</v>
      </c>
      <c r="I118" s="35" t="s">
        <v>75</v>
      </c>
      <c r="J118" s="35" t="s">
        <v>75</v>
      </c>
      <c r="K118" s="35" t="s">
        <v>75</v>
      </c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</row>
    <row r="119" ht="18.75" customHeight="1">
      <c r="A119" s="31">
        <v>3753.0</v>
      </c>
      <c r="B119" s="32" t="s">
        <v>77</v>
      </c>
      <c r="C119" s="32" t="s">
        <v>78</v>
      </c>
      <c r="D119" s="32" t="s">
        <v>79</v>
      </c>
      <c r="E119" s="33">
        <v>5.0</v>
      </c>
      <c r="F119" s="33">
        <v>275.0</v>
      </c>
      <c r="G119" s="34">
        <v>25274.0</v>
      </c>
      <c r="H119" s="31">
        <v>8.0</v>
      </c>
      <c r="I119" s="35" t="s">
        <v>76</v>
      </c>
      <c r="J119" s="35" t="s">
        <v>75</v>
      </c>
      <c r="K119" s="35" t="s">
        <v>75</v>
      </c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</row>
    <row r="120" ht="18.75" customHeight="1">
      <c r="A120" s="31">
        <v>3354.0</v>
      </c>
      <c r="B120" s="32" t="s">
        <v>80</v>
      </c>
      <c r="C120" s="32" t="s">
        <v>81</v>
      </c>
      <c r="D120" s="32" t="s">
        <v>82</v>
      </c>
      <c r="E120" s="33">
        <v>6.0</v>
      </c>
      <c r="F120" s="33">
        <v>36.0</v>
      </c>
      <c r="G120" s="34">
        <v>31653.0</v>
      </c>
      <c r="H120" s="31">
        <v>8.0</v>
      </c>
      <c r="I120" s="35" t="s">
        <v>75</v>
      </c>
      <c r="J120" s="35" t="s">
        <v>76</v>
      </c>
      <c r="K120" s="35" t="s">
        <v>75</v>
      </c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</row>
    <row r="121" ht="18.75" customHeight="1">
      <c r="A121" s="31">
        <v>4496.0</v>
      </c>
      <c r="B121" s="32" t="s">
        <v>83</v>
      </c>
      <c r="C121" s="32" t="s">
        <v>84</v>
      </c>
      <c r="D121" s="32" t="s">
        <v>85</v>
      </c>
      <c r="E121" s="33">
        <v>15.0</v>
      </c>
      <c r="F121" s="33">
        <v>28.0</v>
      </c>
      <c r="G121" s="34">
        <v>21658.0</v>
      </c>
      <c r="H121" s="31">
        <v>4.0</v>
      </c>
      <c r="I121" s="35" t="s">
        <v>75</v>
      </c>
      <c r="J121" s="35" t="s">
        <v>75</v>
      </c>
      <c r="K121" s="35" t="s">
        <v>76</v>
      </c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</row>
    <row r="122" ht="18.75" customHeight="1">
      <c r="A122" s="31">
        <v>4940.0</v>
      </c>
      <c r="B122" s="32" t="s">
        <v>72</v>
      </c>
      <c r="C122" s="32" t="s">
        <v>73</v>
      </c>
      <c r="D122" s="32" t="s">
        <v>74</v>
      </c>
      <c r="E122" s="33">
        <v>5.0</v>
      </c>
      <c r="F122" s="33">
        <v>95.0</v>
      </c>
      <c r="G122" s="34">
        <v>33418.0</v>
      </c>
      <c r="H122" s="31">
        <v>10.0</v>
      </c>
      <c r="I122" s="35" t="s">
        <v>75</v>
      </c>
      <c r="J122" s="35" t="s">
        <v>75</v>
      </c>
      <c r="K122" s="35" t="s">
        <v>76</v>
      </c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</row>
    <row r="123" ht="18.75" customHeight="1">
      <c r="A123" s="31">
        <v>4886.0</v>
      </c>
      <c r="B123" s="32" t="s">
        <v>77</v>
      </c>
      <c r="C123" s="32" t="s">
        <v>78</v>
      </c>
      <c r="D123" s="32" t="s">
        <v>79</v>
      </c>
      <c r="E123" s="33">
        <v>15.0</v>
      </c>
      <c r="F123" s="33">
        <v>954.0</v>
      </c>
      <c r="G123" s="34">
        <v>21404.0</v>
      </c>
      <c r="H123" s="31">
        <v>8.0</v>
      </c>
      <c r="I123" s="35" t="s">
        <v>75</v>
      </c>
      <c r="J123" s="35" t="s">
        <v>75</v>
      </c>
      <c r="K123" s="35" t="s">
        <v>75</v>
      </c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</row>
    <row r="124" ht="18.75" customHeight="1">
      <c r="A124" s="31">
        <v>5272.0</v>
      </c>
      <c r="B124" s="32" t="s">
        <v>80</v>
      </c>
      <c r="C124" s="32" t="s">
        <v>81</v>
      </c>
      <c r="D124" s="32" t="s">
        <v>82</v>
      </c>
      <c r="E124" s="33">
        <v>13.0</v>
      </c>
      <c r="F124" s="33">
        <v>461.0</v>
      </c>
      <c r="G124" s="34">
        <v>28101.0</v>
      </c>
      <c r="H124" s="31">
        <v>9.0</v>
      </c>
      <c r="I124" s="35" t="s">
        <v>75</v>
      </c>
      <c r="J124" s="35" t="s">
        <v>75</v>
      </c>
      <c r="K124" s="35" t="s">
        <v>75</v>
      </c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</row>
    <row r="125" ht="18.75" customHeight="1">
      <c r="A125" s="31">
        <v>4625.0</v>
      </c>
      <c r="B125" s="32" t="s">
        <v>83</v>
      </c>
      <c r="C125" s="32" t="s">
        <v>84</v>
      </c>
      <c r="D125" s="32" t="s">
        <v>85</v>
      </c>
      <c r="E125" s="33">
        <v>15.0</v>
      </c>
      <c r="F125" s="33">
        <v>940.0</v>
      </c>
      <c r="G125" s="34">
        <v>26095.0</v>
      </c>
      <c r="H125" s="31">
        <v>8.0</v>
      </c>
      <c r="I125" s="35" t="s">
        <v>75</v>
      </c>
      <c r="J125" s="35" t="s">
        <v>75</v>
      </c>
      <c r="K125" s="35" t="s">
        <v>75</v>
      </c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</row>
    <row r="126" ht="18.75" customHeight="1">
      <c r="A126" s="31">
        <v>3324.0</v>
      </c>
      <c r="B126" s="32" t="s">
        <v>72</v>
      </c>
      <c r="C126" s="32" t="s">
        <v>73</v>
      </c>
      <c r="D126" s="32" t="s">
        <v>74</v>
      </c>
      <c r="E126" s="33">
        <v>7.0</v>
      </c>
      <c r="F126" s="33">
        <v>325.0</v>
      </c>
      <c r="G126" s="36">
        <v>24798.0</v>
      </c>
      <c r="H126" s="31">
        <v>6.0</v>
      </c>
      <c r="I126" s="35" t="s">
        <v>76</v>
      </c>
      <c r="J126" s="35" t="s">
        <v>75</v>
      </c>
      <c r="K126" s="35" t="s">
        <v>75</v>
      </c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</row>
    <row r="127" ht="18.75" customHeight="1">
      <c r="A127" s="31">
        <v>2336.0</v>
      </c>
      <c r="B127" s="32" t="s">
        <v>77</v>
      </c>
      <c r="C127" s="32" t="s">
        <v>78</v>
      </c>
      <c r="D127" s="32" t="s">
        <v>79</v>
      </c>
      <c r="E127" s="33">
        <v>4.0</v>
      </c>
      <c r="F127" s="33">
        <v>379.0</v>
      </c>
      <c r="G127" s="34">
        <v>34585.0</v>
      </c>
      <c r="H127" s="31">
        <v>1.0</v>
      </c>
      <c r="I127" s="35" t="s">
        <v>76</v>
      </c>
      <c r="J127" s="35" t="s">
        <v>76</v>
      </c>
      <c r="K127" s="35" t="s">
        <v>76</v>
      </c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</row>
    <row r="128" ht="18.75" customHeight="1">
      <c r="A128" s="31">
        <v>5381.0</v>
      </c>
      <c r="B128" s="32" t="s">
        <v>80</v>
      </c>
      <c r="C128" s="32" t="s">
        <v>81</v>
      </c>
      <c r="D128" s="32" t="s">
        <v>82</v>
      </c>
      <c r="E128" s="33">
        <v>7.0</v>
      </c>
      <c r="F128" s="33">
        <v>387.0</v>
      </c>
      <c r="G128" s="34">
        <v>20270.0</v>
      </c>
      <c r="H128" s="31">
        <v>4.0</v>
      </c>
      <c r="I128" s="35" t="s">
        <v>76</v>
      </c>
      <c r="J128" s="35" t="s">
        <v>75</v>
      </c>
      <c r="K128" s="35" t="s">
        <v>76</v>
      </c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</row>
    <row r="129" ht="18.75" customHeight="1">
      <c r="A129" s="31">
        <v>3113.0</v>
      </c>
      <c r="B129" s="32" t="s">
        <v>83</v>
      </c>
      <c r="C129" s="32" t="s">
        <v>84</v>
      </c>
      <c r="D129" s="32" t="s">
        <v>85</v>
      </c>
      <c r="E129" s="33">
        <v>2.0</v>
      </c>
      <c r="F129" s="33">
        <v>732.0</v>
      </c>
      <c r="G129" s="34">
        <v>25074.0</v>
      </c>
      <c r="H129" s="31">
        <v>3.0</v>
      </c>
      <c r="I129" s="35" t="s">
        <v>75</v>
      </c>
      <c r="J129" s="35" t="s">
        <v>75</v>
      </c>
      <c r="K129" s="35" t="s">
        <v>76</v>
      </c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</row>
    <row r="130" ht="18.75" customHeight="1">
      <c r="A130" s="31">
        <v>2354.0</v>
      </c>
      <c r="B130" s="32" t="s">
        <v>72</v>
      </c>
      <c r="C130" s="32" t="s">
        <v>73</v>
      </c>
      <c r="D130" s="32" t="s">
        <v>74</v>
      </c>
      <c r="E130" s="33">
        <v>11.0</v>
      </c>
      <c r="F130" s="33">
        <v>418.0</v>
      </c>
      <c r="G130" s="34">
        <v>23459.0</v>
      </c>
      <c r="H130" s="31">
        <v>4.0</v>
      </c>
      <c r="I130" s="35" t="s">
        <v>75</v>
      </c>
      <c r="J130" s="35" t="s">
        <v>75</v>
      </c>
      <c r="K130" s="35" t="s">
        <v>76</v>
      </c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</row>
    <row r="131" ht="18.75" customHeight="1">
      <c r="A131" s="31">
        <v>5057.0</v>
      </c>
      <c r="B131" s="32" t="s">
        <v>77</v>
      </c>
      <c r="C131" s="32" t="s">
        <v>78</v>
      </c>
      <c r="D131" s="32" t="s">
        <v>79</v>
      </c>
      <c r="E131" s="33">
        <v>6.0</v>
      </c>
      <c r="F131" s="33">
        <v>26.0</v>
      </c>
      <c r="G131" s="34">
        <v>31149.0</v>
      </c>
      <c r="H131" s="31">
        <v>7.0</v>
      </c>
      <c r="I131" s="35" t="s">
        <v>75</v>
      </c>
      <c r="J131" s="35" t="s">
        <v>75</v>
      </c>
      <c r="K131" s="35" t="s">
        <v>76</v>
      </c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</row>
    <row r="132" ht="18.75" customHeight="1">
      <c r="A132" s="31">
        <v>4094.0</v>
      </c>
      <c r="B132" s="32" t="s">
        <v>80</v>
      </c>
      <c r="C132" s="32" t="s">
        <v>81</v>
      </c>
      <c r="D132" s="32" t="s">
        <v>82</v>
      </c>
      <c r="E132" s="33">
        <v>2.0</v>
      </c>
      <c r="F132" s="33">
        <v>263.0</v>
      </c>
      <c r="G132" s="34">
        <v>28539.0</v>
      </c>
      <c r="H132" s="31">
        <v>4.0</v>
      </c>
      <c r="I132" s="35" t="s">
        <v>75</v>
      </c>
      <c r="J132" s="35" t="s">
        <v>75</v>
      </c>
      <c r="K132" s="35" t="s">
        <v>76</v>
      </c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</row>
    <row r="133" ht="18.75" customHeight="1">
      <c r="A133" s="31">
        <v>4468.0</v>
      </c>
      <c r="B133" s="32" t="s">
        <v>83</v>
      </c>
      <c r="C133" s="32" t="s">
        <v>84</v>
      </c>
      <c r="D133" s="32" t="s">
        <v>85</v>
      </c>
      <c r="E133" s="33">
        <v>11.0</v>
      </c>
      <c r="F133" s="33">
        <v>877.0</v>
      </c>
      <c r="G133" s="34">
        <v>34488.0</v>
      </c>
      <c r="H133" s="31">
        <v>6.0</v>
      </c>
      <c r="I133" s="35" t="s">
        <v>75</v>
      </c>
      <c r="J133" s="35" t="s">
        <v>75</v>
      </c>
      <c r="K133" s="35" t="s">
        <v>76</v>
      </c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</row>
    <row r="134" ht="18.75" customHeight="1">
      <c r="A134" s="31">
        <v>3888.0</v>
      </c>
      <c r="B134" s="32" t="s">
        <v>72</v>
      </c>
      <c r="C134" s="32" t="s">
        <v>73</v>
      </c>
      <c r="D134" s="32" t="s">
        <v>74</v>
      </c>
      <c r="E134" s="33">
        <v>8.0</v>
      </c>
      <c r="F134" s="33">
        <v>471.0</v>
      </c>
      <c r="G134" s="34">
        <v>32586.0</v>
      </c>
      <c r="H134" s="31">
        <v>8.0</v>
      </c>
      <c r="I134" s="35" t="s">
        <v>76</v>
      </c>
      <c r="J134" s="35" t="s">
        <v>76</v>
      </c>
      <c r="K134" s="35" t="s">
        <v>75</v>
      </c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</row>
    <row r="135" ht="18.75" customHeight="1">
      <c r="A135" s="31">
        <v>2772.0</v>
      </c>
      <c r="B135" s="32" t="s">
        <v>77</v>
      </c>
      <c r="C135" s="32" t="s">
        <v>78</v>
      </c>
      <c r="D135" s="32" t="s">
        <v>79</v>
      </c>
      <c r="E135" s="33">
        <v>14.0</v>
      </c>
      <c r="F135" s="33">
        <v>830.0</v>
      </c>
      <c r="G135" s="36">
        <v>30296.0</v>
      </c>
      <c r="H135" s="31">
        <v>6.0</v>
      </c>
      <c r="I135" s="35" t="s">
        <v>75</v>
      </c>
      <c r="J135" s="35" t="s">
        <v>76</v>
      </c>
      <c r="K135" s="35" t="s">
        <v>76</v>
      </c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</row>
    <row r="136" ht="18.75" customHeight="1">
      <c r="A136" s="31">
        <v>4741.0</v>
      </c>
      <c r="B136" s="32" t="s">
        <v>80</v>
      </c>
      <c r="C136" s="32" t="s">
        <v>81</v>
      </c>
      <c r="D136" s="32" t="s">
        <v>82</v>
      </c>
      <c r="E136" s="33">
        <v>13.0</v>
      </c>
      <c r="F136" s="33">
        <v>55.0</v>
      </c>
      <c r="G136" s="36">
        <v>28058.0</v>
      </c>
      <c r="H136" s="31">
        <v>7.0</v>
      </c>
      <c r="I136" s="35" t="s">
        <v>76</v>
      </c>
      <c r="J136" s="35" t="s">
        <v>76</v>
      </c>
      <c r="K136" s="35" t="s">
        <v>76</v>
      </c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</row>
    <row r="137" ht="18.75" customHeight="1">
      <c r="A137" s="31">
        <v>5413.0</v>
      </c>
      <c r="B137" s="32" t="s">
        <v>83</v>
      </c>
      <c r="C137" s="32" t="s">
        <v>84</v>
      </c>
      <c r="D137" s="32" t="s">
        <v>85</v>
      </c>
      <c r="E137" s="33">
        <v>5.0</v>
      </c>
      <c r="F137" s="33">
        <v>400.0</v>
      </c>
      <c r="G137" s="34">
        <v>21750.0</v>
      </c>
      <c r="H137" s="31">
        <v>6.0</v>
      </c>
      <c r="I137" s="35" t="s">
        <v>75</v>
      </c>
      <c r="J137" s="35" t="s">
        <v>75</v>
      </c>
      <c r="K137" s="35" t="s">
        <v>75</v>
      </c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</row>
    <row r="138" ht="18.75" customHeight="1">
      <c r="A138" s="31">
        <v>2411.0</v>
      </c>
      <c r="B138" s="32" t="s">
        <v>72</v>
      </c>
      <c r="C138" s="32" t="s">
        <v>73</v>
      </c>
      <c r="D138" s="32" t="s">
        <v>74</v>
      </c>
      <c r="E138" s="33">
        <v>2.0</v>
      </c>
      <c r="F138" s="33">
        <v>689.0</v>
      </c>
      <c r="G138" s="34">
        <v>20850.0</v>
      </c>
      <c r="H138" s="31">
        <v>7.0</v>
      </c>
      <c r="I138" s="35" t="s">
        <v>75</v>
      </c>
      <c r="J138" s="35" t="s">
        <v>75</v>
      </c>
      <c r="K138" s="35" t="s">
        <v>75</v>
      </c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</row>
    <row r="139" ht="18.75" customHeight="1">
      <c r="A139" s="31">
        <v>3071.0</v>
      </c>
      <c r="B139" s="32" t="s">
        <v>77</v>
      </c>
      <c r="C139" s="32" t="s">
        <v>78</v>
      </c>
      <c r="D139" s="32" t="s">
        <v>79</v>
      </c>
      <c r="E139" s="33">
        <v>4.0</v>
      </c>
      <c r="F139" s="33">
        <v>706.0</v>
      </c>
      <c r="G139" s="34">
        <v>20219.0</v>
      </c>
      <c r="H139" s="31">
        <v>8.0</v>
      </c>
      <c r="I139" s="35" t="s">
        <v>76</v>
      </c>
      <c r="J139" s="35" t="s">
        <v>75</v>
      </c>
      <c r="K139" s="35" t="s">
        <v>76</v>
      </c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</row>
    <row r="140" ht="18.75" customHeight="1">
      <c r="A140" s="31">
        <v>5325.0</v>
      </c>
      <c r="B140" s="32" t="s">
        <v>72</v>
      </c>
      <c r="C140" s="32" t="s">
        <v>73</v>
      </c>
      <c r="D140" s="32" t="s">
        <v>74</v>
      </c>
      <c r="E140" s="33">
        <v>15.0</v>
      </c>
      <c r="F140" s="33">
        <v>551.0</v>
      </c>
      <c r="G140" s="34">
        <v>32698.0</v>
      </c>
      <c r="H140" s="31">
        <v>9.0</v>
      </c>
      <c r="I140" s="35" t="s">
        <v>75</v>
      </c>
      <c r="J140" s="35" t="s">
        <v>75</v>
      </c>
      <c r="K140" s="35" t="s">
        <v>75</v>
      </c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</row>
    <row r="141" ht="18.75" customHeight="1">
      <c r="A141" s="31">
        <v>3433.0</v>
      </c>
      <c r="B141" s="32" t="s">
        <v>77</v>
      </c>
      <c r="C141" s="32" t="s">
        <v>78</v>
      </c>
      <c r="D141" s="32" t="s">
        <v>79</v>
      </c>
      <c r="E141" s="33">
        <v>3.0</v>
      </c>
      <c r="F141" s="33">
        <v>311.0</v>
      </c>
      <c r="G141" s="34">
        <v>25674.0</v>
      </c>
      <c r="H141" s="31">
        <v>9.0</v>
      </c>
      <c r="I141" s="35" t="s">
        <v>75</v>
      </c>
      <c r="J141" s="35" t="s">
        <v>75</v>
      </c>
      <c r="K141" s="35" t="s">
        <v>76</v>
      </c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</row>
    <row r="142" ht="18.75" customHeight="1">
      <c r="A142" s="31">
        <v>4455.0</v>
      </c>
      <c r="B142" s="32" t="s">
        <v>72</v>
      </c>
      <c r="C142" s="32" t="s">
        <v>73</v>
      </c>
      <c r="D142" s="32" t="s">
        <v>74</v>
      </c>
      <c r="E142" s="33">
        <v>1.0</v>
      </c>
      <c r="F142" s="33">
        <v>137.0</v>
      </c>
      <c r="G142" s="36">
        <v>21850.0</v>
      </c>
      <c r="H142" s="31">
        <v>2.0</v>
      </c>
      <c r="I142" s="35" t="s">
        <v>75</v>
      </c>
      <c r="J142" s="35" t="s">
        <v>76</v>
      </c>
      <c r="K142" s="35" t="s">
        <v>75</v>
      </c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</row>
    <row r="143" ht="18.75" customHeight="1">
      <c r="A143" s="31">
        <v>4282.0</v>
      </c>
      <c r="B143" s="32" t="s">
        <v>77</v>
      </c>
      <c r="C143" s="32" t="s">
        <v>78</v>
      </c>
      <c r="D143" s="32" t="s">
        <v>79</v>
      </c>
      <c r="E143" s="33">
        <v>15.0</v>
      </c>
      <c r="F143" s="33">
        <v>944.0</v>
      </c>
      <c r="G143" s="34">
        <v>34029.0</v>
      </c>
      <c r="H143" s="31">
        <v>9.0</v>
      </c>
      <c r="I143" s="35" t="s">
        <v>76</v>
      </c>
      <c r="J143" s="35" t="s">
        <v>75</v>
      </c>
      <c r="K143" s="35" t="s">
        <v>75</v>
      </c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</row>
    <row r="144" ht="18.75" customHeight="1">
      <c r="A144" s="31">
        <v>5429.0</v>
      </c>
      <c r="B144" s="32" t="s">
        <v>72</v>
      </c>
      <c r="C144" s="32" t="s">
        <v>73</v>
      </c>
      <c r="D144" s="32" t="s">
        <v>74</v>
      </c>
      <c r="E144" s="33">
        <v>8.0</v>
      </c>
      <c r="F144" s="33">
        <v>557.0</v>
      </c>
      <c r="G144" s="34">
        <v>21720.0</v>
      </c>
      <c r="H144" s="31">
        <v>2.0</v>
      </c>
      <c r="I144" s="35" t="s">
        <v>76</v>
      </c>
      <c r="J144" s="35" t="s">
        <v>76</v>
      </c>
      <c r="K144" s="35" t="s">
        <v>76</v>
      </c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</row>
    <row r="145" ht="18.75" customHeight="1">
      <c r="A145" s="31">
        <v>3567.0</v>
      </c>
      <c r="B145" s="32" t="s">
        <v>77</v>
      </c>
      <c r="C145" s="32" t="s">
        <v>78</v>
      </c>
      <c r="D145" s="32" t="s">
        <v>79</v>
      </c>
      <c r="E145" s="33">
        <v>10.0</v>
      </c>
      <c r="F145" s="33">
        <v>452.0</v>
      </c>
      <c r="G145" s="34">
        <v>23247.0</v>
      </c>
      <c r="H145" s="31">
        <v>8.0</v>
      </c>
      <c r="I145" s="35" t="s">
        <v>75</v>
      </c>
      <c r="J145" s="35" t="s">
        <v>75</v>
      </c>
      <c r="K145" s="35" t="s">
        <v>75</v>
      </c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</row>
    <row r="146" ht="18.75" customHeight="1">
      <c r="A146" s="31">
        <v>5282.0</v>
      </c>
      <c r="B146" s="32" t="s">
        <v>72</v>
      </c>
      <c r="C146" s="32" t="s">
        <v>73</v>
      </c>
      <c r="D146" s="32" t="s">
        <v>74</v>
      </c>
      <c r="E146" s="33">
        <v>5.0</v>
      </c>
      <c r="F146" s="33">
        <v>68.0</v>
      </c>
      <c r="G146" s="34">
        <v>31079.0</v>
      </c>
      <c r="H146" s="31">
        <v>3.0</v>
      </c>
      <c r="I146" s="35" t="s">
        <v>75</v>
      </c>
      <c r="J146" s="35" t="s">
        <v>75</v>
      </c>
      <c r="K146" s="35" t="s">
        <v>76</v>
      </c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</row>
    <row r="147" ht="18.75" customHeight="1">
      <c r="A147" s="31">
        <v>3086.0</v>
      </c>
      <c r="B147" s="32" t="s">
        <v>77</v>
      </c>
      <c r="C147" s="32" t="s">
        <v>78</v>
      </c>
      <c r="D147" s="32" t="s">
        <v>79</v>
      </c>
      <c r="E147" s="33">
        <v>8.0</v>
      </c>
      <c r="F147" s="33">
        <v>339.0</v>
      </c>
      <c r="G147" s="34">
        <v>20674.0</v>
      </c>
      <c r="H147" s="31">
        <v>3.0</v>
      </c>
      <c r="I147" s="35" t="s">
        <v>75</v>
      </c>
      <c r="J147" s="35" t="s">
        <v>76</v>
      </c>
      <c r="K147" s="35" t="s">
        <v>76</v>
      </c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</row>
    <row r="148" ht="18.75" customHeight="1">
      <c r="A148" s="31">
        <v>3571.0</v>
      </c>
      <c r="B148" s="32" t="s">
        <v>72</v>
      </c>
      <c r="C148" s="32" t="s">
        <v>73</v>
      </c>
      <c r="D148" s="32" t="s">
        <v>74</v>
      </c>
      <c r="E148" s="33">
        <v>12.0</v>
      </c>
      <c r="F148" s="33">
        <v>580.0</v>
      </c>
      <c r="G148" s="34">
        <v>23801.0</v>
      </c>
      <c r="H148" s="31">
        <v>4.0</v>
      </c>
      <c r="I148" s="35" t="s">
        <v>75</v>
      </c>
      <c r="J148" s="35" t="s">
        <v>75</v>
      </c>
      <c r="K148" s="35" t="s">
        <v>75</v>
      </c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</row>
    <row r="149" ht="18.75" customHeight="1">
      <c r="A149" s="31">
        <v>5013.0</v>
      </c>
      <c r="B149" s="32" t="s">
        <v>77</v>
      </c>
      <c r="C149" s="32" t="s">
        <v>78</v>
      </c>
      <c r="D149" s="32" t="s">
        <v>79</v>
      </c>
      <c r="E149" s="33">
        <v>10.0</v>
      </c>
      <c r="F149" s="33">
        <v>482.0</v>
      </c>
      <c r="G149" s="34">
        <v>20394.0</v>
      </c>
      <c r="H149" s="31">
        <v>1.0</v>
      </c>
      <c r="I149" s="35" t="s">
        <v>76</v>
      </c>
      <c r="J149" s="35" t="s">
        <v>75</v>
      </c>
      <c r="K149" s="35" t="s">
        <v>76</v>
      </c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</row>
    <row r="150" ht="18.75" customHeight="1">
      <c r="A150" s="31">
        <v>4898.0</v>
      </c>
      <c r="B150" s="32" t="s">
        <v>77</v>
      </c>
      <c r="C150" s="32" t="s">
        <v>78</v>
      </c>
      <c r="D150" s="32" t="s">
        <v>79</v>
      </c>
      <c r="E150" s="33">
        <v>8.0</v>
      </c>
      <c r="F150" s="33">
        <v>851.0</v>
      </c>
      <c r="G150" s="34">
        <v>31524.0</v>
      </c>
      <c r="H150" s="31">
        <v>7.0</v>
      </c>
      <c r="I150" s="35" t="s">
        <v>76</v>
      </c>
      <c r="J150" s="35" t="s">
        <v>75</v>
      </c>
      <c r="K150" s="35" t="s">
        <v>76</v>
      </c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</row>
    <row r="151" ht="18.75" customHeight="1">
      <c r="A151" s="31">
        <v>3912.0</v>
      </c>
      <c r="B151" s="32" t="s">
        <v>77</v>
      </c>
      <c r="C151" s="32" t="s">
        <v>78</v>
      </c>
      <c r="D151" s="32" t="s">
        <v>79</v>
      </c>
      <c r="E151" s="33">
        <v>14.0</v>
      </c>
      <c r="F151" s="33">
        <v>955.0</v>
      </c>
      <c r="G151" s="36">
        <v>33162.0</v>
      </c>
      <c r="H151" s="31">
        <v>2.0</v>
      </c>
      <c r="I151" s="35" t="s">
        <v>76</v>
      </c>
      <c r="J151" s="35" t="s">
        <v>76</v>
      </c>
      <c r="K151" s="35" t="s">
        <v>75</v>
      </c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</row>
    <row r="152" ht="18.75" customHeight="1">
      <c r="A152" s="31">
        <v>2523.0</v>
      </c>
      <c r="B152" s="32" t="s">
        <v>77</v>
      </c>
      <c r="C152" s="32" t="s">
        <v>78</v>
      </c>
      <c r="D152" s="32" t="s">
        <v>79</v>
      </c>
      <c r="E152" s="33">
        <v>11.0</v>
      </c>
      <c r="F152" s="33">
        <v>260.0</v>
      </c>
      <c r="G152" s="34">
        <v>33288.0</v>
      </c>
      <c r="H152" s="31">
        <v>8.0</v>
      </c>
      <c r="I152" s="35" t="s">
        <v>76</v>
      </c>
      <c r="J152" s="35" t="s">
        <v>76</v>
      </c>
      <c r="K152" s="35" t="s">
        <v>75</v>
      </c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</row>
    <row r="153" ht="18.75" customHeight="1">
      <c r="A153" s="31">
        <v>4620.0</v>
      </c>
      <c r="B153" s="32" t="s">
        <v>77</v>
      </c>
      <c r="C153" s="32" t="s">
        <v>78</v>
      </c>
      <c r="D153" s="32" t="s">
        <v>79</v>
      </c>
      <c r="E153" s="33">
        <v>2.0</v>
      </c>
      <c r="F153" s="33">
        <v>794.0</v>
      </c>
      <c r="G153" s="34">
        <v>32773.0</v>
      </c>
      <c r="H153" s="31">
        <v>6.0</v>
      </c>
      <c r="I153" s="35" t="s">
        <v>76</v>
      </c>
      <c r="J153" s="35" t="s">
        <v>75</v>
      </c>
      <c r="K153" s="35" t="s">
        <v>76</v>
      </c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</row>
    <row r="154" ht="18.75" customHeight="1">
      <c r="A154" s="31">
        <v>2420.0</v>
      </c>
      <c r="B154" s="32" t="s">
        <v>77</v>
      </c>
      <c r="C154" s="32" t="s">
        <v>78</v>
      </c>
      <c r="D154" s="32" t="s">
        <v>79</v>
      </c>
      <c r="E154" s="33">
        <v>3.0</v>
      </c>
      <c r="F154" s="33">
        <v>655.0</v>
      </c>
      <c r="G154" s="34">
        <v>24084.0</v>
      </c>
      <c r="H154" s="31">
        <v>1.0</v>
      </c>
      <c r="I154" s="35" t="s">
        <v>76</v>
      </c>
      <c r="J154" s="35" t="s">
        <v>75</v>
      </c>
      <c r="K154" s="35" t="s">
        <v>75</v>
      </c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</row>
    <row r="155" ht="18.75" customHeight="1">
      <c r="A155" s="31">
        <v>3582.0</v>
      </c>
      <c r="B155" s="32" t="s">
        <v>77</v>
      </c>
      <c r="C155" s="32" t="s">
        <v>78</v>
      </c>
      <c r="D155" s="32" t="s">
        <v>79</v>
      </c>
      <c r="E155" s="33">
        <v>12.0</v>
      </c>
      <c r="F155" s="33">
        <v>235.0</v>
      </c>
      <c r="G155" s="34">
        <v>32039.0</v>
      </c>
      <c r="H155" s="31">
        <v>5.0</v>
      </c>
      <c r="I155" s="35" t="s">
        <v>76</v>
      </c>
      <c r="J155" s="35" t="s">
        <v>75</v>
      </c>
      <c r="K155" s="35" t="s">
        <v>75</v>
      </c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</row>
    <row r="156" ht="18.75" customHeight="1">
      <c r="A156" s="31">
        <v>4545.0</v>
      </c>
      <c r="B156" s="32" t="s">
        <v>77</v>
      </c>
      <c r="C156" s="32" t="s">
        <v>78</v>
      </c>
      <c r="D156" s="32" t="s">
        <v>79</v>
      </c>
      <c r="E156" s="33">
        <v>7.0</v>
      </c>
      <c r="F156" s="33">
        <v>758.0</v>
      </c>
      <c r="G156" s="34">
        <v>22441.0</v>
      </c>
      <c r="H156" s="31">
        <v>10.0</v>
      </c>
      <c r="I156" s="35" t="s">
        <v>75</v>
      </c>
      <c r="J156" s="35" t="s">
        <v>75</v>
      </c>
      <c r="K156" s="35" t="s">
        <v>75</v>
      </c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</row>
    <row r="157" ht="18.75" customHeight="1">
      <c r="A157" s="31">
        <v>3579.0</v>
      </c>
      <c r="B157" s="32" t="s">
        <v>77</v>
      </c>
      <c r="C157" s="32" t="s">
        <v>78</v>
      </c>
      <c r="D157" s="32" t="s">
        <v>79</v>
      </c>
      <c r="E157" s="33">
        <v>1.0</v>
      </c>
      <c r="F157" s="33">
        <v>656.0</v>
      </c>
      <c r="G157" s="34">
        <v>27579.0</v>
      </c>
      <c r="H157" s="31">
        <v>10.0</v>
      </c>
      <c r="I157" s="35" t="s">
        <v>76</v>
      </c>
      <c r="J157" s="35" t="s">
        <v>76</v>
      </c>
      <c r="K157" s="35" t="s">
        <v>76</v>
      </c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</row>
    <row r="158" ht="18.75" customHeight="1">
      <c r="A158" s="31">
        <v>3552.0</v>
      </c>
      <c r="B158" s="32" t="s">
        <v>77</v>
      </c>
      <c r="C158" s="32" t="s">
        <v>78</v>
      </c>
      <c r="D158" s="32" t="s">
        <v>79</v>
      </c>
      <c r="E158" s="33">
        <v>11.0</v>
      </c>
      <c r="F158" s="33">
        <v>736.0</v>
      </c>
      <c r="G158" s="34">
        <v>30082.0</v>
      </c>
      <c r="H158" s="31">
        <v>10.0</v>
      </c>
      <c r="I158" s="35" t="s">
        <v>76</v>
      </c>
      <c r="J158" s="35" t="s">
        <v>76</v>
      </c>
      <c r="K158" s="35" t="s">
        <v>75</v>
      </c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</row>
    <row r="159" ht="18.75" customHeight="1">
      <c r="A159" s="31">
        <v>3620.0</v>
      </c>
      <c r="B159" s="32" t="s">
        <v>77</v>
      </c>
      <c r="C159" s="32" t="s">
        <v>78</v>
      </c>
      <c r="D159" s="32" t="s">
        <v>79</v>
      </c>
      <c r="E159" s="33">
        <v>1.0</v>
      </c>
      <c r="F159" s="33">
        <v>665.0</v>
      </c>
      <c r="G159" s="34">
        <v>30426.0</v>
      </c>
      <c r="H159" s="31">
        <v>3.0</v>
      </c>
      <c r="I159" s="35" t="s">
        <v>75</v>
      </c>
      <c r="J159" s="35" t="s">
        <v>76</v>
      </c>
      <c r="K159" s="35" t="s">
        <v>75</v>
      </c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</row>
    <row r="160" ht="18.75" customHeight="1">
      <c r="A160" s="31">
        <v>2482.0</v>
      </c>
      <c r="B160" s="32" t="s">
        <v>77</v>
      </c>
      <c r="C160" s="32" t="s">
        <v>78</v>
      </c>
      <c r="D160" s="32" t="s">
        <v>79</v>
      </c>
      <c r="E160" s="33">
        <v>9.0</v>
      </c>
      <c r="F160" s="33">
        <v>780.0</v>
      </c>
      <c r="G160" s="34">
        <v>33622.0</v>
      </c>
      <c r="H160" s="31">
        <v>9.0</v>
      </c>
      <c r="I160" s="35" t="s">
        <v>75</v>
      </c>
      <c r="J160" s="35" t="s">
        <v>76</v>
      </c>
      <c r="K160" s="35" t="s">
        <v>76</v>
      </c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</row>
    <row r="161" ht="18.75" customHeight="1">
      <c r="A161" s="31">
        <v>5112.0</v>
      </c>
      <c r="B161" s="32" t="s">
        <v>77</v>
      </c>
      <c r="C161" s="32" t="s">
        <v>78</v>
      </c>
      <c r="D161" s="32" t="s">
        <v>79</v>
      </c>
      <c r="E161" s="33">
        <v>9.0</v>
      </c>
      <c r="F161" s="33">
        <v>469.0</v>
      </c>
      <c r="G161" s="34">
        <v>21770.0</v>
      </c>
      <c r="H161" s="31">
        <v>3.0</v>
      </c>
      <c r="I161" s="35" t="s">
        <v>76</v>
      </c>
      <c r="J161" s="35" t="s">
        <v>76</v>
      </c>
      <c r="K161" s="35" t="s">
        <v>75</v>
      </c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</row>
    <row r="162" ht="18.75" customHeight="1">
      <c r="A162" s="31">
        <v>4398.0</v>
      </c>
      <c r="B162" s="32" t="s">
        <v>211</v>
      </c>
      <c r="C162" s="32" t="s">
        <v>212</v>
      </c>
      <c r="D162" s="32" t="s">
        <v>97</v>
      </c>
      <c r="E162" s="33">
        <v>7.0</v>
      </c>
      <c r="F162" s="33">
        <v>236.0</v>
      </c>
      <c r="G162" s="34">
        <v>23394.0</v>
      </c>
      <c r="H162" s="31">
        <v>10.0</v>
      </c>
      <c r="I162" s="35" t="s">
        <v>75</v>
      </c>
      <c r="J162" s="35" t="s">
        <v>76</v>
      </c>
      <c r="K162" s="35" t="s">
        <v>76</v>
      </c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</row>
    <row r="163" ht="18.75" customHeight="1">
      <c r="A163" s="31">
        <v>5180.0</v>
      </c>
      <c r="B163" s="32" t="s">
        <v>213</v>
      </c>
      <c r="C163" s="32" t="s">
        <v>81</v>
      </c>
      <c r="D163" s="32" t="s">
        <v>82</v>
      </c>
      <c r="E163" s="33">
        <v>7.0</v>
      </c>
      <c r="F163" s="33">
        <v>988.0</v>
      </c>
      <c r="G163" s="36">
        <v>32078.0</v>
      </c>
      <c r="H163" s="31">
        <v>8.0</v>
      </c>
      <c r="I163" s="35" t="s">
        <v>76</v>
      </c>
      <c r="J163" s="35" t="s">
        <v>76</v>
      </c>
      <c r="K163" s="35" t="s">
        <v>76</v>
      </c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</row>
    <row r="164" ht="18.75" customHeight="1">
      <c r="A164" s="31">
        <v>4511.0</v>
      </c>
      <c r="B164" s="32" t="s">
        <v>214</v>
      </c>
      <c r="C164" s="32" t="s">
        <v>183</v>
      </c>
      <c r="D164" s="32" t="s">
        <v>100</v>
      </c>
      <c r="E164" s="33">
        <v>1.0</v>
      </c>
      <c r="F164" s="33">
        <v>585.0</v>
      </c>
      <c r="G164" s="34">
        <v>22674.0</v>
      </c>
      <c r="H164" s="31">
        <v>3.0</v>
      </c>
      <c r="I164" s="35" t="s">
        <v>75</v>
      </c>
      <c r="J164" s="35" t="s">
        <v>75</v>
      </c>
      <c r="K164" s="35" t="s">
        <v>76</v>
      </c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</row>
    <row r="165" ht="18.75" customHeight="1">
      <c r="A165" s="31">
        <v>5255.0</v>
      </c>
      <c r="B165" s="32" t="s">
        <v>215</v>
      </c>
      <c r="C165" s="32" t="s">
        <v>216</v>
      </c>
      <c r="D165" s="32" t="s">
        <v>154</v>
      </c>
      <c r="E165" s="33">
        <v>4.0</v>
      </c>
      <c r="F165" s="33">
        <v>375.0</v>
      </c>
      <c r="G165" s="34">
        <v>25006.0</v>
      </c>
      <c r="H165" s="31">
        <v>1.0</v>
      </c>
      <c r="I165" s="35" t="s">
        <v>75</v>
      </c>
      <c r="J165" s="35" t="s">
        <v>76</v>
      </c>
      <c r="K165" s="35" t="s">
        <v>76</v>
      </c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</row>
    <row r="166" ht="18.75" customHeight="1">
      <c r="A166" s="31">
        <v>3631.0</v>
      </c>
      <c r="B166" s="32" t="s">
        <v>217</v>
      </c>
      <c r="C166" s="32" t="s">
        <v>73</v>
      </c>
      <c r="D166" s="32" t="s">
        <v>74</v>
      </c>
      <c r="E166" s="33">
        <v>5.0</v>
      </c>
      <c r="F166" s="33">
        <v>960.0</v>
      </c>
      <c r="G166" s="36">
        <v>29146.0</v>
      </c>
      <c r="H166" s="31">
        <v>3.0</v>
      </c>
      <c r="I166" s="35" t="s">
        <v>76</v>
      </c>
      <c r="J166" s="35" t="s">
        <v>76</v>
      </c>
      <c r="K166" s="35" t="s">
        <v>76</v>
      </c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</row>
    <row r="167" ht="18.75" customHeight="1">
      <c r="A167" s="31">
        <v>4382.0</v>
      </c>
      <c r="B167" s="32" t="s">
        <v>218</v>
      </c>
      <c r="C167" s="32" t="s">
        <v>145</v>
      </c>
      <c r="D167" s="32" t="s">
        <v>82</v>
      </c>
      <c r="E167" s="33">
        <v>3.0</v>
      </c>
      <c r="F167" s="33">
        <v>372.0</v>
      </c>
      <c r="G167" s="34">
        <v>30426.0</v>
      </c>
      <c r="H167" s="31">
        <v>5.0</v>
      </c>
      <c r="I167" s="35" t="s">
        <v>75</v>
      </c>
      <c r="J167" s="35" t="s">
        <v>75</v>
      </c>
      <c r="K167" s="35" t="s">
        <v>76</v>
      </c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</row>
    <row r="168" ht="18.75" customHeight="1">
      <c r="A168" s="31">
        <v>2505.0</v>
      </c>
      <c r="B168" s="32" t="s">
        <v>219</v>
      </c>
      <c r="C168" s="32" t="s">
        <v>102</v>
      </c>
      <c r="D168" s="32" t="s">
        <v>88</v>
      </c>
      <c r="E168" s="33">
        <v>1.0</v>
      </c>
      <c r="F168" s="33">
        <v>642.0</v>
      </c>
      <c r="G168" s="34">
        <v>28682.0</v>
      </c>
      <c r="H168" s="31">
        <v>3.0</v>
      </c>
      <c r="I168" s="35" t="s">
        <v>76</v>
      </c>
      <c r="J168" s="35" t="s">
        <v>75</v>
      </c>
      <c r="K168" s="35" t="s">
        <v>76</v>
      </c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</row>
    <row r="169" ht="18.75" customHeight="1">
      <c r="A169" s="31">
        <v>4655.0</v>
      </c>
      <c r="B169" s="32" t="s">
        <v>220</v>
      </c>
      <c r="C169" s="32" t="s">
        <v>221</v>
      </c>
      <c r="D169" s="32" t="s">
        <v>105</v>
      </c>
      <c r="E169" s="33">
        <v>4.0</v>
      </c>
      <c r="F169" s="33">
        <v>573.0</v>
      </c>
      <c r="G169" s="34">
        <v>30530.0</v>
      </c>
      <c r="H169" s="31">
        <v>7.0</v>
      </c>
      <c r="I169" s="35" t="s">
        <v>76</v>
      </c>
      <c r="J169" s="35" t="s">
        <v>76</v>
      </c>
      <c r="K169" s="35" t="s">
        <v>76</v>
      </c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</row>
    <row r="170" ht="18.75" customHeight="1">
      <c r="A170" s="31">
        <v>5131.0</v>
      </c>
      <c r="B170" s="32" t="s">
        <v>222</v>
      </c>
      <c r="C170" s="32" t="s">
        <v>73</v>
      </c>
      <c r="D170" s="32" t="s">
        <v>74</v>
      </c>
      <c r="E170" s="33">
        <v>12.0</v>
      </c>
      <c r="F170" s="33">
        <v>184.0</v>
      </c>
      <c r="G170" s="34">
        <v>20337.0</v>
      </c>
      <c r="H170" s="31">
        <v>2.0</v>
      </c>
      <c r="I170" s="35" t="s">
        <v>75</v>
      </c>
      <c r="J170" s="35" t="s">
        <v>75</v>
      </c>
      <c r="K170" s="35" t="s">
        <v>75</v>
      </c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</row>
    <row r="171" ht="18.75" customHeight="1">
      <c r="A171" s="31">
        <v>4918.0</v>
      </c>
      <c r="B171" s="32" t="s">
        <v>223</v>
      </c>
      <c r="C171" s="32" t="s">
        <v>224</v>
      </c>
      <c r="D171" s="32" t="s">
        <v>79</v>
      </c>
      <c r="E171" s="33">
        <v>1.0</v>
      </c>
      <c r="F171" s="33">
        <v>883.0</v>
      </c>
      <c r="G171" s="34">
        <v>20153.0</v>
      </c>
      <c r="H171" s="31">
        <v>8.0</v>
      </c>
      <c r="I171" s="35" t="s">
        <v>76</v>
      </c>
      <c r="J171" s="35" t="s">
        <v>76</v>
      </c>
      <c r="K171" s="35" t="s">
        <v>76</v>
      </c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</row>
    <row r="172" ht="18.75" customHeight="1">
      <c r="A172" s="31">
        <v>3511.0</v>
      </c>
      <c r="B172" s="32" t="s">
        <v>225</v>
      </c>
      <c r="C172" s="32" t="s">
        <v>226</v>
      </c>
      <c r="D172" s="32" t="s">
        <v>114</v>
      </c>
      <c r="E172" s="33">
        <v>3.0</v>
      </c>
      <c r="F172" s="33">
        <v>670.0</v>
      </c>
      <c r="G172" s="34">
        <v>27041.0</v>
      </c>
      <c r="H172" s="31">
        <v>2.0</v>
      </c>
      <c r="I172" s="35" t="s">
        <v>76</v>
      </c>
      <c r="J172" s="35" t="s">
        <v>75</v>
      </c>
      <c r="K172" s="35" t="s">
        <v>75</v>
      </c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</row>
    <row r="173" ht="18.75" customHeight="1">
      <c r="A173" s="31">
        <v>5025.0</v>
      </c>
      <c r="B173" s="32" t="s">
        <v>227</v>
      </c>
      <c r="C173" s="32" t="s">
        <v>228</v>
      </c>
      <c r="D173" s="32" t="s">
        <v>82</v>
      </c>
      <c r="E173" s="33">
        <v>9.0</v>
      </c>
      <c r="F173" s="33">
        <v>287.0</v>
      </c>
      <c r="G173" s="36">
        <v>28839.0</v>
      </c>
      <c r="H173" s="31">
        <v>7.0</v>
      </c>
      <c r="I173" s="35" t="s">
        <v>75</v>
      </c>
      <c r="J173" s="35" t="s">
        <v>75</v>
      </c>
      <c r="K173" s="35" t="s">
        <v>76</v>
      </c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</row>
    <row r="174" ht="18.75" customHeight="1">
      <c r="A174" s="31">
        <v>2987.0</v>
      </c>
      <c r="B174" s="32" t="s">
        <v>229</v>
      </c>
      <c r="C174" s="32" t="s">
        <v>153</v>
      </c>
      <c r="D174" s="32" t="s">
        <v>154</v>
      </c>
      <c r="E174" s="33">
        <v>1.0</v>
      </c>
      <c r="F174" s="33">
        <v>619.0</v>
      </c>
      <c r="G174" s="34">
        <v>21987.0</v>
      </c>
      <c r="H174" s="31">
        <v>9.0</v>
      </c>
      <c r="I174" s="35" t="s">
        <v>75</v>
      </c>
      <c r="J174" s="35" t="s">
        <v>76</v>
      </c>
      <c r="K174" s="35" t="s">
        <v>76</v>
      </c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</row>
    <row r="175" ht="18.75" customHeight="1">
      <c r="A175" s="31">
        <v>2495.0</v>
      </c>
      <c r="B175" s="32" t="s">
        <v>230</v>
      </c>
      <c r="C175" s="32" t="s">
        <v>231</v>
      </c>
      <c r="D175" s="32" t="s">
        <v>88</v>
      </c>
      <c r="E175" s="33">
        <v>9.0</v>
      </c>
      <c r="F175" s="33">
        <v>999.0</v>
      </c>
      <c r="G175" s="34">
        <v>25403.0</v>
      </c>
      <c r="H175" s="31">
        <v>4.0</v>
      </c>
      <c r="I175" s="35" t="s">
        <v>76</v>
      </c>
      <c r="J175" s="35" t="s">
        <v>75</v>
      </c>
      <c r="K175" s="35" t="s">
        <v>76</v>
      </c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</row>
    <row r="176" ht="18.75" customHeight="1">
      <c r="A176" s="31">
        <v>3883.0</v>
      </c>
      <c r="B176" s="32" t="s">
        <v>232</v>
      </c>
      <c r="C176" s="32" t="s">
        <v>233</v>
      </c>
      <c r="D176" s="32" t="s">
        <v>179</v>
      </c>
      <c r="E176" s="33">
        <v>14.0</v>
      </c>
      <c r="F176" s="33">
        <v>240.0</v>
      </c>
      <c r="G176" s="34">
        <v>21799.0</v>
      </c>
      <c r="H176" s="31">
        <v>7.0</v>
      </c>
      <c r="I176" s="35" t="s">
        <v>75</v>
      </c>
      <c r="J176" s="35" t="s">
        <v>76</v>
      </c>
      <c r="K176" s="35" t="s">
        <v>75</v>
      </c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</row>
    <row r="177" ht="18.75" customHeight="1">
      <c r="A177" s="31">
        <v>4632.0</v>
      </c>
      <c r="B177" s="32" t="s">
        <v>234</v>
      </c>
      <c r="C177" s="32" t="s">
        <v>145</v>
      </c>
      <c r="D177" s="32" t="s">
        <v>82</v>
      </c>
      <c r="E177" s="33">
        <v>10.0</v>
      </c>
      <c r="F177" s="33">
        <v>943.0</v>
      </c>
      <c r="G177" s="34">
        <v>29817.0</v>
      </c>
      <c r="H177" s="31">
        <v>5.0</v>
      </c>
      <c r="I177" s="35" t="s">
        <v>75</v>
      </c>
      <c r="J177" s="35" t="s">
        <v>76</v>
      </c>
      <c r="K177" s="35" t="s">
        <v>76</v>
      </c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</row>
    <row r="178" ht="18.75" customHeight="1">
      <c r="A178" s="31">
        <v>3676.0</v>
      </c>
      <c r="B178" s="32" t="s">
        <v>235</v>
      </c>
      <c r="C178" s="32" t="s">
        <v>236</v>
      </c>
      <c r="D178" s="32" t="s">
        <v>237</v>
      </c>
      <c r="E178" s="33">
        <v>13.0</v>
      </c>
      <c r="F178" s="33">
        <v>232.0</v>
      </c>
      <c r="G178" s="34">
        <v>20520.0</v>
      </c>
      <c r="H178" s="31">
        <v>9.0</v>
      </c>
      <c r="I178" s="35" t="s">
        <v>75</v>
      </c>
      <c r="J178" s="35" t="s">
        <v>75</v>
      </c>
      <c r="K178" s="35" t="s">
        <v>75</v>
      </c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</row>
    <row r="179" ht="18.75" customHeight="1">
      <c r="A179" s="31">
        <v>5079.0</v>
      </c>
      <c r="B179" s="32" t="s">
        <v>238</v>
      </c>
      <c r="C179" s="32" t="s">
        <v>145</v>
      </c>
      <c r="D179" s="32" t="s">
        <v>82</v>
      </c>
      <c r="E179" s="33">
        <v>5.0</v>
      </c>
      <c r="F179" s="33">
        <v>748.0</v>
      </c>
      <c r="G179" s="34">
        <v>22174.0</v>
      </c>
      <c r="H179" s="31">
        <v>8.0</v>
      </c>
      <c r="I179" s="35" t="s">
        <v>76</v>
      </c>
      <c r="J179" s="35" t="s">
        <v>76</v>
      </c>
      <c r="K179" s="35" t="s">
        <v>76</v>
      </c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</row>
    <row r="180" ht="18.75" customHeight="1">
      <c r="A180" s="31">
        <v>3286.0</v>
      </c>
      <c r="B180" s="32" t="s">
        <v>239</v>
      </c>
      <c r="C180" s="32" t="s">
        <v>81</v>
      </c>
      <c r="D180" s="32" t="s">
        <v>82</v>
      </c>
      <c r="E180" s="33">
        <v>11.0</v>
      </c>
      <c r="F180" s="33">
        <v>890.0</v>
      </c>
      <c r="G180" s="34">
        <v>26141.0</v>
      </c>
      <c r="H180" s="31">
        <v>8.0</v>
      </c>
      <c r="I180" s="35" t="s">
        <v>75</v>
      </c>
      <c r="J180" s="35" t="s">
        <v>76</v>
      </c>
      <c r="K180" s="35" t="s">
        <v>76</v>
      </c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</row>
    <row r="181" ht="18.75" customHeight="1">
      <c r="A181" s="31">
        <v>4885.0</v>
      </c>
      <c r="B181" s="32" t="s">
        <v>240</v>
      </c>
      <c r="C181" s="32" t="s">
        <v>78</v>
      </c>
      <c r="D181" s="32" t="s">
        <v>79</v>
      </c>
      <c r="E181" s="33">
        <v>10.0</v>
      </c>
      <c r="F181" s="33">
        <v>832.0</v>
      </c>
      <c r="G181" s="36">
        <v>25520.0</v>
      </c>
      <c r="H181" s="31">
        <v>4.0</v>
      </c>
      <c r="I181" s="35" t="s">
        <v>75</v>
      </c>
      <c r="J181" s="35" t="s">
        <v>75</v>
      </c>
      <c r="K181" s="35" t="s">
        <v>76</v>
      </c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</row>
    <row r="182" ht="18.75" customHeight="1">
      <c r="A182" s="31">
        <v>4936.0</v>
      </c>
      <c r="B182" s="32" t="s">
        <v>241</v>
      </c>
      <c r="C182" s="32" t="s">
        <v>104</v>
      </c>
      <c r="D182" s="32" t="s">
        <v>105</v>
      </c>
      <c r="E182" s="33">
        <v>3.0</v>
      </c>
      <c r="F182" s="33">
        <v>570.0</v>
      </c>
      <c r="G182" s="34">
        <v>32326.0</v>
      </c>
      <c r="H182" s="31">
        <v>5.0</v>
      </c>
      <c r="I182" s="35" t="s">
        <v>76</v>
      </c>
      <c r="J182" s="35" t="s">
        <v>75</v>
      </c>
      <c r="K182" s="35" t="s">
        <v>75</v>
      </c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</row>
    <row r="183" ht="18.75" customHeight="1">
      <c r="A183" s="31">
        <v>2419.0</v>
      </c>
      <c r="B183" s="32" t="s">
        <v>242</v>
      </c>
      <c r="C183" s="32" t="s">
        <v>96</v>
      </c>
      <c r="D183" s="32" t="s">
        <v>97</v>
      </c>
      <c r="E183" s="33">
        <v>14.0</v>
      </c>
      <c r="F183" s="33">
        <v>13.0</v>
      </c>
      <c r="G183" s="34">
        <v>20899.0</v>
      </c>
      <c r="H183" s="31">
        <v>4.0</v>
      </c>
      <c r="I183" s="35" t="s">
        <v>75</v>
      </c>
      <c r="J183" s="35" t="s">
        <v>76</v>
      </c>
      <c r="K183" s="35" t="s">
        <v>76</v>
      </c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</row>
    <row r="184" ht="18.75" customHeight="1">
      <c r="A184" s="31">
        <v>4966.0</v>
      </c>
      <c r="B184" s="32" t="s">
        <v>243</v>
      </c>
      <c r="C184" s="32" t="s">
        <v>84</v>
      </c>
      <c r="D184" s="32" t="s">
        <v>85</v>
      </c>
      <c r="E184" s="33">
        <v>2.0</v>
      </c>
      <c r="F184" s="33">
        <v>921.0</v>
      </c>
      <c r="G184" s="34">
        <v>29222.0</v>
      </c>
      <c r="H184" s="31">
        <v>4.0</v>
      </c>
      <c r="I184" s="35" t="s">
        <v>76</v>
      </c>
      <c r="J184" s="35" t="s">
        <v>75</v>
      </c>
      <c r="K184" s="35" t="s">
        <v>76</v>
      </c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</row>
    <row r="185" ht="18.75" customHeight="1">
      <c r="A185" s="31">
        <v>3192.0</v>
      </c>
      <c r="B185" s="32" t="s">
        <v>244</v>
      </c>
      <c r="C185" s="32" t="s">
        <v>118</v>
      </c>
      <c r="D185" s="32" t="s">
        <v>100</v>
      </c>
      <c r="E185" s="33">
        <v>12.0</v>
      </c>
      <c r="F185" s="33">
        <v>845.0</v>
      </c>
      <c r="G185" s="34">
        <v>33444.0</v>
      </c>
      <c r="H185" s="31">
        <v>6.0</v>
      </c>
      <c r="I185" s="35" t="s">
        <v>76</v>
      </c>
      <c r="J185" s="35" t="s">
        <v>75</v>
      </c>
      <c r="K185" s="35" t="s">
        <v>76</v>
      </c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</row>
    <row r="186" ht="18.75" customHeight="1">
      <c r="A186" s="31">
        <v>4597.0</v>
      </c>
      <c r="B186" s="32" t="s">
        <v>245</v>
      </c>
      <c r="C186" s="32" t="s">
        <v>99</v>
      </c>
      <c r="D186" s="32" t="s">
        <v>100</v>
      </c>
      <c r="E186" s="33">
        <v>8.0</v>
      </c>
      <c r="F186" s="33">
        <v>713.0</v>
      </c>
      <c r="G186" s="34">
        <v>21610.0</v>
      </c>
      <c r="H186" s="31">
        <v>10.0</v>
      </c>
      <c r="I186" s="35" t="s">
        <v>76</v>
      </c>
      <c r="J186" s="35" t="s">
        <v>75</v>
      </c>
      <c r="K186" s="35" t="s">
        <v>76</v>
      </c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</row>
    <row r="187" ht="18.75" customHeight="1">
      <c r="A187" s="31">
        <v>4894.0</v>
      </c>
      <c r="B187" s="32" t="s">
        <v>246</v>
      </c>
      <c r="C187" s="32" t="s">
        <v>84</v>
      </c>
      <c r="D187" s="32" t="s">
        <v>85</v>
      </c>
      <c r="E187" s="33">
        <v>6.0</v>
      </c>
      <c r="F187" s="33">
        <v>387.0</v>
      </c>
      <c r="G187" s="34">
        <v>27818.0</v>
      </c>
      <c r="H187" s="31">
        <v>7.0</v>
      </c>
      <c r="I187" s="35" t="s">
        <v>76</v>
      </c>
      <c r="J187" s="35" t="s">
        <v>76</v>
      </c>
      <c r="K187" s="35" t="s">
        <v>76</v>
      </c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</row>
    <row r="188" ht="18.75" customHeight="1">
      <c r="A188" s="31">
        <v>4105.0</v>
      </c>
      <c r="B188" s="32" t="s">
        <v>247</v>
      </c>
      <c r="C188" s="32" t="s">
        <v>102</v>
      </c>
      <c r="D188" s="32" t="s">
        <v>88</v>
      </c>
      <c r="E188" s="33">
        <v>12.0</v>
      </c>
      <c r="F188" s="33">
        <v>518.0</v>
      </c>
      <c r="G188" s="36">
        <v>24029.0</v>
      </c>
      <c r="H188" s="31">
        <v>3.0</v>
      </c>
      <c r="I188" s="35" t="s">
        <v>76</v>
      </c>
      <c r="J188" s="35" t="s">
        <v>75</v>
      </c>
      <c r="K188" s="35" t="s">
        <v>76</v>
      </c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</row>
    <row r="189" ht="18.75" customHeight="1">
      <c r="A189" s="31">
        <v>2551.0</v>
      </c>
      <c r="B189" s="32" t="s">
        <v>248</v>
      </c>
      <c r="C189" s="32" t="s">
        <v>102</v>
      </c>
      <c r="D189" s="32" t="s">
        <v>88</v>
      </c>
      <c r="E189" s="33">
        <v>13.0</v>
      </c>
      <c r="F189" s="33">
        <v>20.0</v>
      </c>
      <c r="G189" s="34">
        <v>34817.0</v>
      </c>
      <c r="H189" s="31">
        <v>5.0</v>
      </c>
      <c r="I189" s="35" t="s">
        <v>76</v>
      </c>
      <c r="J189" s="35" t="s">
        <v>75</v>
      </c>
      <c r="K189" s="35" t="s">
        <v>76</v>
      </c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</row>
    <row r="190" ht="18.75" customHeight="1">
      <c r="A190" s="31">
        <v>4502.0</v>
      </c>
      <c r="B190" s="32" t="s">
        <v>249</v>
      </c>
      <c r="C190" s="32" t="s">
        <v>84</v>
      </c>
      <c r="D190" s="32" t="s">
        <v>85</v>
      </c>
      <c r="E190" s="33">
        <v>15.0</v>
      </c>
      <c r="F190" s="33">
        <v>397.0</v>
      </c>
      <c r="G190" s="36">
        <v>22972.0</v>
      </c>
      <c r="H190" s="31">
        <v>3.0</v>
      </c>
      <c r="I190" s="35" t="s">
        <v>76</v>
      </c>
      <c r="J190" s="35" t="s">
        <v>76</v>
      </c>
      <c r="K190" s="35" t="s">
        <v>75</v>
      </c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</row>
    <row r="191" ht="18.75" customHeight="1">
      <c r="A191" s="31">
        <v>2838.0</v>
      </c>
      <c r="B191" s="32" t="s">
        <v>250</v>
      </c>
      <c r="C191" s="32" t="s">
        <v>251</v>
      </c>
      <c r="D191" s="32" t="s">
        <v>79</v>
      </c>
      <c r="E191" s="33">
        <v>3.0</v>
      </c>
      <c r="F191" s="33">
        <v>804.0</v>
      </c>
      <c r="G191" s="34">
        <v>25342.0</v>
      </c>
      <c r="H191" s="31">
        <v>3.0</v>
      </c>
      <c r="I191" s="35" t="s">
        <v>76</v>
      </c>
      <c r="J191" s="35" t="s">
        <v>75</v>
      </c>
      <c r="K191" s="35" t="s">
        <v>75</v>
      </c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</row>
    <row r="192" ht="18.75" customHeight="1">
      <c r="A192" s="31">
        <v>4290.0</v>
      </c>
      <c r="B192" s="32" t="s">
        <v>252</v>
      </c>
      <c r="C192" s="32" t="s">
        <v>233</v>
      </c>
      <c r="D192" s="32" t="s">
        <v>179</v>
      </c>
      <c r="E192" s="33">
        <v>1.0</v>
      </c>
      <c r="F192" s="33">
        <v>83.0</v>
      </c>
      <c r="G192" s="36">
        <v>25529.0</v>
      </c>
      <c r="H192" s="31">
        <v>9.0</v>
      </c>
      <c r="I192" s="35" t="s">
        <v>75</v>
      </c>
      <c r="J192" s="35" t="s">
        <v>76</v>
      </c>
      <c r="K192" s="35" t="s">
        <v>75</v>
      </c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</row>
    <row r="193" ht="18.75" customHeight="1">
      <c r="A193" s="31">
        <v>2899.0</v>
      </c>
      <c r="B193" s="32" t="s">
        <v>253</v>
      </c>
      <c r="C193" s="32" t="s">
        <v>254</v>
      </c>
      <c r="D193" s="32" t="s">
        <v>74</v>
      </c>
      <c r="E193" s="33">
        <v>4.0</v>
      </c>
      <c r="F193" s="33">
        <v>23.0</v>
      </c>
      <c r="G193" s="36">
        <v>25885.0</v>
      </c>
      <c r="H193" s="31">
        <v>6.0</v>
      </c>
      <c r="I193" s="35" t="s">
        <v>76</v>
      </c>
      <c r="J193" s="35" t="s">
        <v>76</v>
      </c>
      <c r="K193" s="35" t="s">
        <v>75</v>
      </c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</row>
    <row r="194" ht="18.75" customHeight="1">
      <c r="A194" s="31">
        <v>4152.0</v>
      </c>
      <c r="B194" s="32" t="s">
        <v>255</v>
      </c>
      <c r="C194" s="32" t="s">
        <v>256</v>
      </c>
      <c r="D194" s="32" t="s">
        <v>79</v>
      </c>
      <c r="E194" s="33">
        <v>4.0</v>
      </c>
      <c r="F194" s="33">
        <v>869.0</v>
      </c>
      <c r="G194" s="34">
        <v>33003.0</v>
      </c>
      <c r="H194" s="31">
        <v>1.0</v>
      </c>
      <c r="I194" s="35" t="s">
        <v>75</v>
      </c>
      <c r="J194" s="35" t="s">
        <v>76</v>
      </c>
      <c r="K194" s="35" t="s">
        <v>76</v>
      </c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</row>
    <row r="195" ht="18.75" customHeight="1">
      <c r="A195" s="31">
        <v>2514.0</v>
      </c>
      <c r="B195" s="32" t="s">
        <v>257</v>
      </c>
      <c r="C195" s="32" t="s">
        <v>99</v>
      </c>
      <c r="D195" s="32" t="s">
        <v>100</v>
      </c>
      <c r="E195" s="33">
        <v>3.0</v>
      </c>
      <c r="F195" s="33">
        <v>776.0</v>
      </c>
      <c r="G195" s="34">
        <v>30815.0</v>
      </c>
      <c r="H195" s="31">
        <v>3.0</v>
      </c>
      <c r="I195" s="35" t="s">
        <v>76</v>
      </c>
      <c r="J195" s="35" t="s">
        <v>76</v>
      </c>
      <c r="K195" s="35" t="s">
        <v>76</v>
      </c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</row>
    <row r="196" ht="18.75" customHeight="1">
      <c r="A196" s="31">
        <v>4602.0</v>
      </c>
      <c r="B196" s="32" t="s">
        <v>258</v>
      </c>
      <c r="C196" s="32" t="s">
        <v>96</v>
      </c>
      <c r="D196" s="32" t="s">
        <v>97</v>
      </c>
      <c r="E196" s="33">
        <v>4.0</v>
      </c>
      <c r="F196" s="33">
        <v>362.0</v>
      </c>
      <c r="G196" s="34">
        <v>20831.0</v>
      </c>
      <c r="H196" s="31">
        <v>10.0</v>
      </c>
      <c r="I196" s="35" t="s">
        <v>76</v>
      </c>
      <c r="J196" s="35" t="s">
        <v>76</v>
      </c>
      <c r="K196" s="35" t="s">
        <v>76</v>
      </c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</row>
    <row r="197" ht="18.75" customHeight="1">
      <c r="A197" s="31">
        <v>3184.0</v>
      </c>
      <c r="B197" s="32" t="s">
        <v>259</v>
      </c>
      <c r="C197" s="32" t="s">
        <v>78</v>
      </c>
      <c r="D197" s="32" t="s">
        <v>79</v>
      </c>
      <c r="E197" s="33">
        <v>13.0</v>
      </c>
      <c r="F197" s="33">
        <v>655.0</v>
      </c>
      <c r="G197" s="36">
        <v>24041.0</v>
      </c>
      <c r="H197" s="31">
        <v>6.0</v>
      </c>
      <c r="I197" s="35" t="s">
        <v>76</v>
      </c>
      <c r="J197" s="35" t="s">
        <v>76</v>
      </c>
      <c r="K197" s="35" t="s">
        <v>75</v>
      </c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</row>
    <row r="198" ht="18.75" customHeight="1">
      <c r="A198" s="31">
        <v>2646.0</v>
      </c>
      <c r="B198" s="32" t="s">
        <v>260</v>
      </c>
      <c r="C198" s="32" t="s">
        <v>84</v>
      </c>
      <c r="D198" s="32" t="s">
        <v>85</v>
      </c>
      <c r="E198" s="33">
        <v>4.0</v>
      </c>
      <c r="F198" s="33">
        <v>319.0</v>
      </c>
      <c r="G198" s="34">
        <v>29757.0</v>
      </c>
      <c r="H198" s="31">
        <v>2.0</v>
      </c>
      <c r="I198" s="35" t="s">
        <v>75</v>
      </c>
      <c r="J198" s="35" t="s">
        <v>76</v>
      </c>
      <c r="K198" s="35" t="s">
        <v>76</v>
      </c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</row>
    <row r="199" ht="18.75" customHeight="1">
      <c r="A199" s="31">
        <v>2765.0</v>
      </c>
      <c r="B199" s="32" t="s">
        <v>261</v>
      </c>
      <c r="C199" s="32" t="s">
        <v>262</v>
      </c>
      <c r="D199" s="32" t="s">
        <v>74</v>
      </c>
      <c r="E199" s="33">
        <v>7.0</v>
      </c>
      <c r="F199" s="33">
        <v>645.0</v>
      </c>
      <c r="G199" s="34">
        <v>21991.0</v>
      </c>
      <c r="H199" s="31">
        <v>9.0</v>
      </c>
      <c r="I199" s="35" t="s">
        <v>76</v>
      </c>
      <c r="J199" s="35" t="s">
        <v>76</v>
      </c>
      <c r="K199" s="35" t="s">
        <v>75</v>
      </c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</row>
    <row r="200" ht="18.75" customHeight="1">
      <c r="A200" s="31">
        <v>2371.0</v>
      </c>
      <c r="B200" s="32" t="s">
        <v>263</v>
      </c>
      <c r="C200" s="32" t="s">
        <v>78</v>
      </c>
      <c r="D200" s="32" t="s">
        <v>79</v>
      </c>
      <c r="E200" s="33">
        <v>12.0</v>
      </c>
      <c r="F200" s="33">
        <v>66.0</v>
      </c>
      <c r="G200" s="34">
        <v>31954.0</v>
      </c>
      <c r="H200" s="31">
        <v>8.0</v>
      </c>
      <c r="I200" s="35" t="s">
        <v>75</v>
      </c>
      <c r="J200" s="35" t="s">
        <v>75</v>
      </c>
      <c r="K200" s="35" t="s">
        <v>76</v>
      </c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</row>
    <row r="201" ht="18.75" customHeight="1">
      <c r="A201" s="31">
        <v>3819.0</v>
      </c>
      <c r="B201" s="32" t="s">
        <v>264</v>
      </c>
      <c r="C201" s="32" t="s">
        <v>96</v>
      </c>
      <c r="D201" s="32" t="s">
        <v>97</v>
      </c>
      <c r="E201" s="33">
        <v>15.0</v>
      </c>
      <c r="F201" s="33">
        <v>118.0</v>
      </c>
      <c r="G201" s="34">
        <v>26305.0</v>
      </c>
      <c r="H201" s="31">
        <v>6.0</v>
      </c>
      <c r="I201" s="35" t="s">
        <v>76</v>
      </c>
      <c r="J201" s="35" t="s">
        <v>76</v>
      </c>
      <c r="K201" s="35" t="s">
        <v>76</v>
      </c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</row>
    <row r="202" ht="18.75" customHeight="1">
      <c r="A202" s="31">
        <v>4007.0</v>
      </c>
      <c r="B202" s="32" t="s">
        <v>265</v>
      </c>
      <c r="C202" s="32" t="s">
        <v>73</v>
      </c>
      <c r="D202" s="32" t="s">
        <v>74</v>
      </c>
      <c r="E202" s="33">
        <v>4.0</v>
      </c>
      <c r="F202" s="33">
        <v>680.0</v>
      </c>
      <c r="G202" s="34">
        <v>34218.0</v>
      </c>
      <c r="H202" s="31">
        <v>1.0</v>
      </c>
      <c r="I202" s="35" t="s">
        <v>76</v>
      </c>
      <c r="J202" s="35" t="s">
        <v>75</v>
      </c>
      <c r="K202" s="35" t="s">
        <v>75</v>
      </c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</row>
    <row r="203" ht="18.75" customHeight="1">
      <c r="A203" s="31">
        <v>4012.0</v>
      </c>
      <c r="B203" s="32" t="s">
        <v>266</v>
      </c>
      <c r="C203" s="32" t="s">
        <v>81</v>
      </c>
      <c r="D203" s="32" t="s">
        <v>82</v>
      </c>
      <c r="E203" s="33">
        <v>2.0</v>
      </c>
      <c r="F203" s="33">
        <v>130.0</v>
      </c>
      <c r="G203" s="34">
        <v>22034.0</v>
      </c>
      <c r="H203" s="31">
        <v>2.0</v>
      </c>
      <c r="I203" s="35" t="s">
        <v>76</v>
      </c>
      <c r="J203" s="35" t="s">
        <v>76</v>
      </c>
      <c r="K203" s="35" t="s">
        <v>75</v>
      </c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</row>
    <row r="204" ht="18.75" customHeight="1">
      <c r="A204" s="31">
        <v>4855.0</v>
      </c>
      <c r="B204" s="32" t="s">
        <v>267</v>
      </c>
      <c r="C204" s="32" t="s">
        <v>268</v>
      </c>
      <c r="D204" s="32" t="s">
        <v>85</v>
      </c>
      <c r="E204" s="33">
        <v>5.0</v>
      </c>
      <c r="F204" s="33">
        <v>575.0</v>
      </c>
      <c r="G204" s="34">
        <v>24256.0</v>
      </c>
      <c r="H204" s="31">
        <v>9.0</v>
      </c>
      <c r="I204" s="35" t="s">
        <v>75</v>
      </c>
      <c r="J204" s="35" t="s">
        <v>76</v>
      </c>
      <c r="K204" s="35" t="s">
        <v>76</v>
      </c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</row>
    <row r="205" ht="18.75" customHeight="1">
      <c r="A205" s="31">
        <v>5233.0</v>
      </c>
      <c r="B205" s="32" t="s">
        <v>269</v>
      </c>
      <c r="C205" s="32" t="s">
        <v>208</v>
      </c>
      <c r="D205" s="32" t="s">
        <v>97</v>
      </c>
      <c r="E205" s="33">
        <v>13.0</v>
      </c>
      <c r="F205" s="33">
        <v>537.0</v>
      </c>
      <c r="G205" s="34">
        <v>21381.0</v>
      </c>
      <c r="H205" s="31">
        <v>3.0</v>
      </c>
      <c r="I205" s="35" t="s">
        <v>76</v>
      </c>
      <c r="J205" s="35" t="s">
        <v>76</v>
      </c>
      <c r="K205" s="35" t="s">
        <v>75</v>
      </c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</row>
    <row r="206" ht="18.75" customHeight="1">
      <c r="A206" s="31">
        <v>3910.0</v>
      </c>
      <c r="B206" s="32" t="s">
        <v>270</v>
      </c>
      <c r="C206" s="32" t="s">
        <v>231</v>
      </c>
      <c r="D206" s="32" t="s">
        <v>88</v>
      </c>
      <c r="E206" s="33">
        <v>12.0</v>
      </c>
      <c r="F206" s="33">
        <v>167.0</v>
      </c>
      <c r="G206" s="34">
        <v>32186.0</v>
      </c>
      <c r="H206" s="31">
        <v>1.0</v>
      </c>
      <c r="I206" s="35" t="s">
        <v>76</v>
      </c>
      <c r="J206" s="35" t="s">
        <v>75</v>
      </c>
      <c r="K206" s="35" t="s">
        <v>75</v>
      </c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</row>
    <row r="207" ht="18.75" customHeight="1">
      <c r="A207" s="31">
        <v>2469.0</v>
      </c>
      <c r="B207" s="32" t="s">
        <v>271</v>
      </c>
      <c r="C207" s="32" t="s">
        <v>145</v>
      </c>
      <c r="D207" s="32" t="s">
        <v>82</v>
      </c>
      <c r="E207" s="33">
        <v>15.0</v>
      </c>
      <c r="F207" s="33">
        <v>152.0</v>
      </c>
      <c r="G207" s="34">
        <v>20349.0</v>
      </c>
      <c r="H207" s="31">
        <v>3.0</v>
      </c>
      <c r="I207" s="35" t="s">
        <v>76</v>
      </c>
      <c r="J207" s="35" t="s">
        <v>76</v>
      </c>
      <c r="K207" s="35" t="s">
        <v>76</v>
      </c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</row>
    <row r="208" ht="18.75" customHeight="1">
      <c r="A208" s="31">
        <v>4554.0</v>
      </c>
      <c r="B208" s="32" t="s">
        <v>272</v>
      </c>
      <c r="C208" s="32" t="s">
        <v>273</v>
      </c>
      <c r="D208" s="32" t="s">
        <v>85</v>
      </c>
      <c r="E208" s="33">
        <v>8.0</v>
      </c>
      <c r="F208" s="33">
        <v>484.0</v>
      </c>
      <c r="G208" s="36">
        <v>23663.0</v>
      </c>
      <c r="H208" s="31">
        <v>4.0</v>
      </c>
      <c r="I208" s="35" t="s">
        <v>76</v>
      </c>
      <c r="J208" s="35" t="s">
        <v>75</v>
      </c>
      <c r="K208" s="35" t="s">
        <v>75</v>
      </c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</row>
    <row r="209" ht="18.75" customHeight="1">
      <c r="A209" s="31">
        <v>4033.0</v>
      </c>
      <c r="B209" s="32" t="s">
        <v>274</v>
      </c>
      <c r="C209" s="32" t="s">
        <v>178</v>
      </c>
      <c r="D209" s="32" t="s">
        <v>179</v>
      </c>
      <c r="E209" s="33">
        <v>10.0</v>
      </c>
      <c r="F209" s="33">
        <v>797.0</v>
      </c>
      <c r="G209" s="34">
        <v>24321.0</v>
      </c>
      <c r="H209" s="31">
        <v>5.0</v>
      </c>
      <c r="I209" s="35" t="s">
        <v>76</v>
      </c>
      <c r="J209" s="35" t="s">
        <v>76</v>
      </c>
      <c r="K209" s="35" t="s">
        <v>76</v>
      </c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</row>
    <row r="210" ht="18.75" customHeight="1">
      <c r="A210" s="31">
        <v>3028.0</v>
      </c>
      <c r="B210" s="32" t="s">
        <v>275</v>
      </c>
      <c r="C210" s="32" t="s">
        <v>158</v>
      </c>
      <c r="D210" s="32" t="s">
        <v>74</v>
      </c>
      <c r="E210" s="33">
        <v>14.0</v>
      </c>
      <c r="F210" s="33">
        <v>934.0</v>
      </c>
      <c r="G210" s="34">
        <v>20484.0</v>
      </c>
      <c r="H210" s="31">
        <v>6.0</v>
      </c>
      <c r="I210" s="35" t="s">
        <v>76</v>
      </c>
      <c r="J210" s="35" t="s">
        <v>76</v>
      </c>
      <c r="K210" s="35" t="s">
        <v>75</v>
      </c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</row>
    <row r="211" ht="18.75" customHeight="1">
      <c r="A211" s="31">
        <v>3752.0</v>
      </c>
      <c r="B211" s="32" t="s">
        <v>276</v>
      </c>
      <c r="C211" s="32" t="s">
        <v>277</v>
      </c>
      <c r="D211" s="32" t="s">
        <v>79</v>
      </c>
      <c r="E211" s="33">
        <v>13.0</v>
      </c>
      <c r="F211" s="33">
        <v>538.0</v>
      </c>
      <c r="G211" s="34">
        <v>24268.0</v>
      </c>
      <c r="H211" s="31">
        <v>8.0</v>
      </c>
      <c r="I211" s="35" t="s">
        <v>76</v>
      </c>
      <c r="J211" s="35" t="s">
        <v>76</v>
      </c>
      <c r="K211" s="35" t="s">
        <v>75</v>
      </c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</row>
    <row r="212" ht="18.75" customHeight="1">
      <c r="A212" s="31">
        <v>4864.0</v>
      </c>
      <c r="B212" s="32" t="s">
        <v>278</v>
      </c>
      <c r="C212" s="32" t="s">
        <v>99</v>
      </c>
      <c r="D212" s="32" t="s">
        <v>100</v>
      </c>
      <c r="E212" s="33">
        <v>9.0</v>
      </c>
      <c r="F212" s="33">
        <v>682.0</v>
      </c>
      <c r="G212" s="34">
        <v>31551.0</v>
      </c>
      <c r="H212" s="31">
        <v>4.0</v>
      </c>
      <c r="I212" s="35" t="s">
        <v>75</v>
      </c>
      <c r="J212" s="35" t="s">
        <v>75</v>
      </c>
      <c r="K212" s="35" t="s">
        <v>75</v>
      </c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</row>
    <row r="213" ht="18.75" customHeight="1">
      <c r="A213" s="31">
        <v>2890.0</v>
      </c>
      <c r="B213" s="32" t="s">
        <v>279</v>
      </c>
      <c r="C213" s="32" t="s">
        <v>203</v>
      </c>
      <c r="D213" s="32" t="s">
        <v>97</v>
      </c>
      <c r="E213" s="33">
        <v>4.0</v>
      </c>
      <c r="F213" s="33">
        <v>424.0</v>
      </c>
      <c r="G213" s="36">
        <v>27381.0</v>
      </c>
      <c r="H213" s="31">
        <v>6.0</v>
      </c>
      <c r="I213" s="35" t="s">
        <v>75</v>
      </c>
      <c r="J213" s="35" t="s">
        <v>76</v>
      </c>
      <c r="K213" s="35" t="s">
        <v>75</v>
      </c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</row>
    <row r="214" ht="18.75" customHeight="1">
      <c r="A214" s="31">
        <v>3316.0</v>
      </c>
      <c r="B214" s="32" t="s">
        <v>280</v>
      </c>
      <c r="C214" s="32" t="s">
        <v>96</v>
      </c>
      <c r="D214" s="32" t="s">
        <v>97</v>
      </c>
      <c r="E214" s="33">
        <v>11.0</v>
      </c>
      <c r="F214" s="33">
        <v>598.0</v>
      </c>
      <c r="G214" s="34">
        <v>25993.0</v>
      </c>
      <c r="H214" s="31">
        <v>8.0</v>
      </c>
      <c r="I214" s="35" t="s">
        <v>75</v>
      </c>
      <c r="J214" s="35" t="s">
        <v>76</v>
      </c>
      <c r="K214" s="35" t="s">
        <v>76</v>
      </c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</row>
    <row r="215" ht="18.75" customHeight="1">
      <c r="A215" s="31">
        <v>5514.0</v>
      </c>
      <c r="B215" s="32" t="s">
        <v>281</v>
      </c>
      <c r="C215" s="32" t="s">
        <v>81</v>
      </c>
      <c r="D215" s="32" t="s">
        <v>82</v>
      </c>
      <c r="E215" s="33">
        <v>10.0</v>
      </c>
      <c r="F215" s="33">
        <v>671.0</v>
      </c>
      <c r="G215" s="34">
        <v>21824.0</v>
      </c>
      <c r="H215" s="31">
        <v>2.0</v>
      </c>
      <c r="I215" s="35" t="s">
        <v>75</v>
      </c>
      <c r="J215" s="35" t="s">
        <v>76</v>
      </c>
      <c r="K215" s="35" t="s">
        <v>76</v>
      </c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</row>
    <row r="216" ht="18.75" customHeight="1">
      <c r="A216" s="31">
        <v>5070.0</v>
      </c>
      <c r="B216" s="32" t="s">
        <v>282</v>
      </c>
      <c r="C216" s="32" t="s">
        <v>168</v>
      </c>
      <c r="D216" s="32" t="s">
        <v>105</v>
      </c>
      <c r="E216" s="33">
        <v>4.0</v>
      </c>
      <c r="F216" s="33">
        <v>124.0</v>
      </c>
      <c r="G216" s="34">
        <v>23154.0</v>
      </c>
      <c r="H216" s="31">
        <v>1.0</v>
      </c>
      <c r="I216" s="35" t="s">
        <v>76</v>
      </c>
      <c r="J216" s="35" t="s">
        <v>76</v>
      </c>
      <c r="K216" s="35" t="s">
        <v>75</v>
      </c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</row>
    <row r="217" ht="18.75" customHeight="1">
      <c r="A217" s="31">
        <v>5243.0</v>
      </c>
      <c r="B217" s="32" t="s">
        <v>283</v>
      </c>
      <c r="C217" s="32" t="s">
        <v>156</v>
      </c>
      <c r="D217" s="32" t="s">
        <v>79</v>
      </c>
      <c r="E217" s="33">
        <v>9.0</v>
      </c>
      <c r="F217" s="33">
        <v>856.0</v>
      </c>
      <c r="G217" s="34">
        <v>24133.0</v>
      </c>
      <c r="H217" s="31">
        <v>1.0</v>
      </c>
      <c r="I217" s="35" t="s">
        <v>76</v>
      </c>
      <c r="J217" s="35" t="s">
        <v>76</v>
      </c>
      <c r="K217" s="35" t="s">
        <v>75</v>
      </c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</row>
    <row r="218" ht="18.75" customHeight="1">
      <c r="A218" s="31">
        <v>4448.0</v>
      </c>
      <c r="B218" s="32" t="s">
        <v>284</v>
      </c>
      <c r="C218" s="32" t="s">
        <v>285</v>
      </c>
      <c r="D218" s="32" t="s">
        <v>179</v>
      </c>
      <c r="E218" s="33">
        <v>11.0</v>
      </c>
      <c r="F218" s="33">
        <v>427.0</v>
      </c>
      <c r="G218" s="36">
        <v>33558.0</v>
      </c>
      <c r="H218" s="31">
        <v>6.0</v>
      </c>
      <c r="I218" s="35" t="s">
        <v>76</v>
      </c>
      <c r="J218" s="35" t="s">
        <v>76</v>
      </c>
      <c r="K218" s="35" t="s">
        <v>75</v>
      </c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</row>
    <row r="219" ht="18.75" customHeight="1">
      <c r="A219" s="31">
        <v>4207.0</v>
      </c>
      <c r="B219" s="32" t="s">
        <v>286</v>
      </c>
      <c r="C219" s="32" t="s">
        <v>73</v>
      </c>
      <c r="D219" s="32" t="s">
        <v>74</v>
      </c>
      <c r="E219" s="33">
        <v>6.0</v>
      </c>
      <c r="F219" s="33">
        <v>989.0</v>
      </c>
      <c r="G219" s="34">
        <v>32764.0</v>
      </c>
      <c r="H219" s="31">
        <v>4.0</v>
      </c>
      <c r="I219" s="35" t="s">
        <v>75</v>
      </c>
      <c r="J219" s="35" t="s">
        <v>76</v>
      </c>
      <c r="K219" s="35" t="s">
        <v>75</v>
      </c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</row>
    <row r="220" ht="18.75" customHeight="1">
      <c r="A220" s="31">
        <v>3172.0</v>
      </c>
      <c r="B220" s="32" t="s">
        <v>287</v>
      </c>
      <c r="C220" s="32" t="s">
        <v>288</v>
      </c>
      <c r="D220" s="32" t="s">
        <v>91</v>
      </c>
      <c r="E220" s="33">
        <v>7.0</v>
      </c>
      <c r="F220" s="33">
        <v>325.0</v>
      </c>
      <c r="G220" s="36">
        <v>32795.0</v>
      </c>
      <c r="H220" s="31">
        <v>4.0</v>
      </c>
      <c r="I220" s="35" t="s">
        <v>76</v>
      </c>
      <c r="J220" s="35" t="s">
        <v>75</v>
      </c>
      <c r="K220" s="35" t="s">
        <v>75</v>
      </c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</row>
    <row r="221" ht="18.75" customHeight="1">
      <c r="A221" s="31">
        <v>4800.0</v>
      </c>
      <c r="B221" s="32" t="s">
        <v>289</v>
      </c>
      <c r="C221" s="32" t="s">
        <v>156</v>
      </c>
      <c r="D221" s="32" t="s">
        <v>79</v>
      </c>
      <c r="E221" s="33">
        <v>8.0</v>
      </c>
      <c r="F221" s="33">
        <v>991.0</v>
      </c>
      <c r="G221" s="34">
        <v>27784.0</v>
      </c>
      <c r="H221" s="31">
        <v>1.0</v>
      </c>
      <c r="I221" s="35" t="s">
        <v>75</v>
      </c>
      <c r="J221" s="35" t="s">
        <v>75</v>
      </c>
      <c r="K221" s="35" t="s">
        <v>75</v>
      </c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</row>
    <row r="222" ht="18.75" customHeight="1">
      <c r="A222" s="31">
        <v>3472.0</v>
      </c>
      <c r="B222" s="32" t="s">
        <v>290</v>
      </c>
      <c r="C222" s="32" t="s">
        <v>291</v>
      </c>
      <c r="D222" s="32" t="s">
        <v>154</v>
      </c>
      <c r="E222" s="33">
        <v>11.0</v>
      </c>
      <c r="F222" s="33">
        <v>306.0</v>
      </c>
      <c r="G222" s="34">
        <v>27464.0</v>
      </c>
      <c r="H222" s="31">
        <v>1.0</v>
      </c>
      <c r="I222" s="35" t="s">
        <v>76</v>
      </c>
      <c r="J222" s="35" t="s">
        <v>75</v>
      </c>
      <c r="K222" s="35" t="s">
        <v>76</v>
      </c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</row>
    <row r="223" ht="18.75" customHeight="1">
      <c r="A223" s="31">
        <v>4297.0</v>
      </c>
      <c r="B223" s="32" t="s">
        <v>292</v>
      </c>
      <c r="C223" s="32" t="s">
        <v>109</v>
      </c>
      <c r="D223" s="32" t="s">
        <v>88</v>
      </c>
      <c r="E223" s="33">
        <v>2.0</v>
      </c>
      <c r="F223" s="33">
        <v>444.0</v>
      </c>
      <c r="G223" s="34">
        <v>30340.0</v>
      </c>
      <c r="H223" s="31">
        <v>1.0</v>
      </c>
      <c r="I223" s="35" t="s">
        <v>76</v>
      </c>
      <c r="J223" s="35" t="s">
        <v>75</v>
      </c>
      <c r="K223" s="35" t="s">
        <v>76</v>
      </c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</row>
    <row r="224" ht="18.75" customHeight="1">
      <c r="A224" s="31">
        <v>5379.0</v>
      </c>
      <c r="B224" s="32" t="s">
        <v>293</v>
      </c>
      <c r="C224" s="32" t="s">
        <v>104</v>
      </c>
      <c r="D224" s="32" t="s">
        <v>105</v>
      </c>
      <c r="E224" s="33">
        <v>13.0</v>
      </c>
      <c r="F224" s="33">
        <v>195.0</v>
      </c>
      <c r="G224" s="36">
        <v>27713.0</v>
      </c>
      <c r="H224" s="31">
        <v>5.0</v>
      </c>
      <c r="I224" s="35" t="s">
        <v>75</v>
      </c>
      <c r="J224" s="35" t="s">
        <v>76</v>
      </c>
      <c r="K224" s="35" t="s">
        <v>76</v>
      </c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</row>
    <row r="225" ht="18.75" customHeight="1">
      <c r="A225" s="31">
        <v>5307.0</v>
      </c>
      <c r="B225" s="32" t="s">
        <v>294</v>
      </c>
      <c r="C225" s="32" t="s">
        <v>78</v>
      </c>
      <c r="D225" s="32" t="s">
        <v>79</v>
      </c>
      <c r="E225" s="33">
        <v>9.0</v>
      </c>
      <c r="F225" s="33">
        <v>831.0</v>
      </c>
      <c r="G225" s="34">
        <v>22860.0</v>
      </c>
      <c r="H225" s="31">
        <v>4.0</v>
      </c>
      <c r="I225" s="35" t="s">
        <v>75</v>
      </c>
      <c r="J225" s="35" t="s">
        <v>76</v>
      </c>
      <c r="K225" s="35" t="s">
        <v>75</v>
      </c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</row>
    <row r="226" ht="18.75" customHeight="1">
      <c r="A226" s="31">
        <v>5459.0</v>
      </c>
      <c r="B226" s="32" t="s">
        <v>295</v>
      </c>
      <c r="C226" s="32" t="s">
        <v>127</v>
      </c>
      <c r="D226" s="32" t="s">
        <v>94</v>
      </c>
      <c r="E226" s="33">
        <v>3.0</v>
      </c>
      <c r="F226" s="33">
        <v>106.0</v>
      </c>
      <c r="G226" s="34">
        <v>24859.0</v>
      </c>
      <c r="H226" s="31">
        <v>8.0</v>
      </c>
      <c r="I226" s="35" t="s">
        <v>76</v>
      </c>
      <c r="J226" s="35" t="s">
        <v>76</v>
      </c>
      <c r="K226" s="35" t="s">
        <v>76</v>
      </c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</row>
    <row r="227" ht="18.75" customHeight="1">
      <c r="A227" s="31">
        <v>4124.0</v>
      </c>
      <c r="B227" s="32" t="s">
        <v>296</v>
      </c>
      <c r="C227" s="32" t="s">
        <v>297</v>
      </c>
      <c r="D227" s="32" t="s">
        <v>88</v>
      </c>
      <c r="E227" s="33">
        <v>15.0</v>
      </c>
      <c r="F227" s="33">
        <v>353.0</v>
      </c>
      <c r="G227" s="34">
        <v>22259.0</v>
      </c>
      <c r="H227" s="31">
        <v>2.0</v>
      </c>
      <c r="I227" s="35" t="s">
        <v>75</v>
      </c>
      <c r="J227" s="35" t="s">
        <v>75</v>
      </c>
      <c r="K227" s="35" t="s">
        <v>76</v>
      </c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</row>
    <row r="228" ht="18.75" customHeight="1">
      <c r="A228" s="31">
        <v>4169.0</v>
      </c>
      <c r="B228" s="32" t="s">
        <v>298</v>
      </c>
      <c r="C228" s="32" t="s">
        <v>73</v>
      </c>
      <c r="D228" s="32" t="s">
        <v>74</v>
      </c>
      <c r="E228" s="33">
        <v>4.0</v>
      </c>
      <c r="F228" s="33">
        <v>896.0</v>
      </c>
      <c r="G228" s="34">
        <v>34646.0</v>
      </c>
      <c r="H228" s="31">
        <v>7.0</v>
      </c>
      <c r="I228" s="35" t="s">
        <v>75</v>
      </c>
      <c r="J228" s="35" t="s">
        <v>76</v>
      </c>
      <c r="K228" s="35" t="s">
        <v>75</v>
      </c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</row>
    <row r="229" ht="18.75" customHeight="1">
      <c r="A229" s="31">
        <v>5400.0</v>
      </c>
      <c r="B229" s="32" t="s">
        <v>299</v>
      </c>
      <c r="C229" s="32" t="s">
        <v>149</v>
      </c>
      <c r="D229" s="32" t="s">
        <v>139</v>
      </c>
      <c r="E229" s="33">
        <v>14.0</v>
      </c>
      <c r="F229" s="33">
        <v>605.0</v>
      </c>
      <c r="G229" s="36">
        <v>33188.0</v>
      </c>
      <c r="H229" s="31">
        <v>1.0</v>
      </c>
      <c r="I229" s="35" t="s">
        <v>76</v>
      </c>
      <c r="J229" s="35" t="s">
        <v>75</v>
      </c>
      <c r="K229" s="35" t="s">
        <v>75</v>
      </c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</row>
    <row r="230" ht="18.75" customHeight="1">
      <c r="A230" s="31">
        <v>5592.0</v>
      </c>
      <c r="B230" s="32" t="s">
        <v>300</v>
      </c>
      <c r="C230" s="32" t="s">
        <v>285</v>
      </c>
      <c r="D230" s="32" t="s">
        <v>179</v>
      </c>
      <c r="E230" s="33">
        <v>6.0</v>
      </c>
      <c r="F230" s="33">
        <v>403.0</v>
      </c>
      <c r="G230" s="34">
        <v>23468.0</v>
      </c>
      <c r="H230" s="31">
        <v>5.0</v>
      </c>
      <c r="I230" s="35" t="s">
        <v>75</v>
      </c>
      <c r="J230" s="35" t="s">
        <v>76</v>
      </c>
      <c r="K230" s="35" t="s">
        <v>75</v>
      </c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</row>
    <row r="231" ht="18.75" customHeight="1">
      <c r="A231" s="31">
        <v>5563.0</v>
      </c>
      <c r="B231" s="32" t="s">
        <v>301</v>
      </c>
      <c r="C231" s="32" t="s">
        <v>156</v>
      </c>
      <c r="D231" s="32" t="s">
        <v>79</v>
      </c>
      <c r="E231" s="33">
        <v>15.0</v>
      </c>
      <c r="F231" s="33">
        <v>935.0</v>
      </c>
      <c r="G231" s="34">
        <v>33873.0</v>
      </c>
      <c r="H231" s="31">
        <v>4.0</v>
      </c>
      <c r="I231" s="35" t="s">
        <v>76</v>
      </c>
      <c r="J231" s="35" t="s">
        <v>76</v>
      </c>
      <c r="K231" s="35" t="s">
        <v>75</v>
      </c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</row>
    <row r="232" ht="18.75" customHeight="1">
      <c r="A232" s="31">
        <v>4149.0</v>
      </c>
      <c r="B232" s="32" t="s">
        <v>302</v>
      </c>
      <c r="C232" s="32" t="s">
        <v>178</v>
      </c>
      <c r="D232" s="32" t="s">
        <v>179</v>
      </c>
      <c r="E232" s="33">
        <v>4.0</v>
      </c>
      <c r="F232" s="33">
        <v>409.0</v>
      </c>
      <c r="G232" s="36">
        <v>21173.0</v>
      </c>
      <c r="H232" s="31">
        <v>3.0</v>
      </c>
      <c r="I232" s="35" t="s">
        <v>75</v>
      </c>
      <c r="J232" s="35" t="s">
        <v>75</v>
      </c>
      <c r="K232" s="35" t="s">
        <v>75</v>
      </c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</row>
    <row r="233" ht="18.75" customHeight="1">
      <c r="A233" s="31">
        <v>4421.0</v>
      </c>
      <c r="B233" s="32" t="s">
        <v>303</v>
      </c>
      <c r="C233" s="32" t="s">
        <v>131</v>
      </c>
      <c r="D233" s="32" t="s">
        <v>132</v>
      </c>
      <c r="E233" s="33">
        <v>8.0</v>
      </c>
      <c r="F233" s="33">
        <v>345.0</v>
      </c>
      <c r="G233" s="34">
        <v>20399.0</v>
      </c>
      <c r="H233" s="31">
        <v>4.0</v>
      </c>
      <c r="I233" s="35" t="s">
        <v>75</v>
      </c>
      <c r="J233" s="35" t="s">
        <v>75</v>
      </c>
      <c r="K233" s="35" t="s">
        <v>76</v>
      </c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</row>
    <row r="234" ht="18.75" customHeight="1">
      <c r="A234" s="31">
        <v>4331.0</v>
      </c>
      <c r="B234" s="32" t="s">
        <v>304</v>
      </c>
      <c r="C234" s="32" t="s">
        <v>305</v>
      </c>
      <c r="D234" s="32" t="s">
        <v>125</v>
      </c>
      <c r="E234" s="33">
        <v>15.0</v>
      </c>
      <c r="F234" s="33">
        <v>408.0</v>
      </c>
      <c r="G234" s="34">
        <v>26758.0</v>
      </c>
      <c r="H234" s="31">
        <v>7.0</v>
      </c>
      <c r="I234" s="35" t="s">
        <v>75</v>
      </c>
      <c r="J234" s="35" t="s">
        <v>76</v>
      </c>
      <c r="K234" s="35" t="s">
        <v>75</v>
      </c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</row>
    <row r="235" ht="18.75" customHeight="1">
      <c r="A235" s="31">
        <v>4660.0</v>
      </c>
      <c r="B235" s="32" t="s">
        <v>306</v>
      </c>
      <c r="C235" s="32" t="s">
        <v>73</v>
      </c>
      <c r="D235" s="32" t="s">
        <v>74</v>
      </c>
      <c r="E235" s="33">
        <v>4.0</v>
      </c>
      <c r="F235" s="33">
        <v>705.0</v>
      </c>
      <c r="G235" s="36">
        <v>28812.0</v>
      </c>
      <c r="H235" s="31">
        <v>2.0</v>
      </c>
      <c r="I235" s="35" t="s">
        <v>75</v>
      </c>
      <c r="J235" s="35" t="s">
        <v>75</v>
      </c>
      <c r="K235" s="35" t="s">
        <v>76</v>
      </c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</row>
    <row r="236" ht="18.75" customHeight="1">
      <c r="A236" s="31">
        <v>3906.0</v>
      </c>
      <c r="B236" s="32" t="s">
        <v>307</v>
      </c>
      <c r="C236" s="32" t="s">
        <v>228</v>
      </c>
      <c r="D236" s="32" t="s">
        <v>82</v>
      </c>
      <c r="E236" s="33">
        <v>2.0</v>
      </c>
      <c r="F236" s="33">
        <v>318.0</v>
      </c>
      <c r="G236" s="34">
        <v>27931.0</v>
      </c>
      <c r="H236" s="31">
        <v>3.0</v>
      </c>
      <c r="I236" s="35" t="s">
        <v>76</v>
      </c>
      <c r="J236" s="35" t="s">
        <v>75</v>
      </c>
      <c r="K236" s="35" t="s">
        <v>76</v>
      </c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</row>
    <row r="237" ht="18.75" customHeight="1">
      <c r="A237" s="31">
        <v>2774.0</v>
      </c>
      <c r="B237" s="32" t="s">
        <v>308</v>
      </c>
      <c r="C237" s="32" t="s">
        <v>216</v>
      </c>
      <c r="D237" s="32" t="s">
        <v>154</v>
      </c>
      <c r="E237" s="33">
        <v>13.0</v>
      </c>
      <c r="F237" s="33">
        <v>475.0</v>
      </c>
      <c r="G237" s="34">
        <v>20627.0</v>
      </c>
      <c r="H237" s="31">
        <v>10.0</v>
      </c>
      <c r="I237" s="35" t="s">
        <v>76</v>
      </c>
      <c r="J237" s="35" t="s">
        <v>76</v>
      </c>
      <c r="K237" s="35" t="s">
        <v>76</v>
      </c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</row>
    <row r="238" ht="18.75" customHeight="1">
      <c r="A238" s="31">
        <v>5325.0</v>
      </c>
      <c r="B238" s="32" t="s">
        <v>309</v>
      </c>
      <c r="C238" s="32" t="s">
        <v>81</v>
      </c>
      <c r="D238" s="32" t="s">
        <v>82</v>
      </c>
      <c r="E238" s="33">
        <v>15.0</v>
      </c>
      <c r="F238" s="33">
        <v>208.0</v>
      </c>
      <c r="G238" s="34">
        <v>21343.0</v>
      </c>
      <c r="H238" s="31">
        <v>6.0</v>
      </c>
      <c r="I238" s="35" t="s">
        <v>75</v>
      </c>
      <c r="J238" s="35" t="s">
        <v>75</v>
      </c>
      <c r="K238" s="35" t="s">
        <v>75</v>
      </c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</row>
    <row r="239" ht="18.75" customHeight="1">
      <c r="A239" s="31">
        <v>3604.0</v>
      </c>
      <c r="B239" s="32" t="s">
        <v>310</v>
      </c>
      <c r="C239" s="32" t="s">
        <v>73</v>
      </c>
      <c r="D239" s="32" t="s">
        <v>74</v>
      </c>
      <c r="E239" s="33">
        <v>8.0</v>
      </c>
      <c r="F239" s="33">
        <v>684.0</v>
      </c>
      <c r="G239" s="34">
        <v>34731.0</v>
      </c>
      <c r="H239" s="31">
        <v>3.0</v>
      </c>
      <c r="I239" s="35" t="s">
        <v>75</v>
      </c>
      <c r="J239" s="35" t="s">
        <v>76</v>
      </c>
      <c r="K239" s="35" t="s">
        <v>76</v>
      </c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</row>
    <row r="240" ht="18.75" customHeight="1">
      <c r="A240" s="31">
        <v>2673.0</v>
      </c>
      <c r="B240" s="32" t="s">
        <v>311</v>
      </c>
      <c r="C240" s="32" t="s">
        <v>312</v>
      </c>
      <c r="D240" s="32" t="s">
        <v>79</v>
      </c>
      <c r="E240" s="33">
        <v>6.0</v>
      </c>
      <c r="F240" s="33">
        <v>403.0</v>
      </c>
      <c r="G240" s="34">
        <v>20878.0</v>
      </c>
      <c r="H240" s="31">
        <v>10.0</v>
      </c>
      <c r="I240" s="35" t="s">
        <v>75</v>
      </c>
      <c r="J240" s="35" t="s">
        <v>75</v>
      </c>
      <c r="K240" s="35" t="s">
        <v>75</v>
      </c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</row>
    <row r="241" ht="18.75" customHeight="1">
      <c r="A241" s="31">
        <v>2826.0</v>
      </c>
      <c r="B241" s="32" t="s">
        <v>313</v>
      </c>
      <c r="C241" s="32" t="s">
        <v>73</v>
      </c>
      <c r="D241" s="32" t="s">
        <v>74</v>
      </c>
      <c r="E241" s="33">
        <v>3.0</v>
      </c>
      <c r="F241" s="33">
        <v>900.0</v>
      </c>
      <c r="G241" s="34">
        <v>28734.0</v>
      </c>
      <c r="H241" s="31">
        <v>2.0</v>
      </c>
      <c r="I241" s="35" t="s">
        <v>75</v>
      </c>
      <c r="J241" s="35" t="s">
        <v>75</v>
      </c>
      <c r="K241" s="35" t="s">
        <v>75</v>
      </c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</row>
    <row r="242" ht="18.75" customHeight="1">
      <c r="A242" s="31">
        <v>4735.0</v>
      </c>
      <c r="B242" s="32" t="s">
        <v>314</v>
      </c>
      <c r="C242" s="32" t="s">
        <v>131</v>
      </c>
      <c r="D242" s="32" t="s">
        <v>132</v>
      </c>
      <c r="E242" s="33">
        <v>13.0</v>
      </c>
      <c r="F242" s="33">
        <v>294.0</v>
      </c>
      <c r="G242" s="34">
        <v>23949.0</v>
      </c>
      <c r="H242" s="31">
        <v>7.0</v>
      </c>
      <c r="I242" s="35" t="s">
        <v>75</v>
      </c>
      <c r="J242" s="35" t="s">
        <v>75</v>
      </c>
      <c r="K242" s="35" t="s">
        <v>76</v>
      </c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</row>
    <row r="243" ht="18.75" customHeight="1">
      <c r="A243" s="31">
        <v>2546.0</v>
      </c>
      <c r="B243" s="32" t="s">
        <v>315</v>
      </c>
      <c r="C243" s="32" t="s">
        <v>102</v>
      </c>
      <c r="D243" s="32" t="s">
        <v>88</v>
      </c>
      <c r="E243" s="33">
        <v>15.0</v>
      </c>
      <c r="F243" s="33">
        <v>382.0</v>
      </c>
      <c r="G243" s="34">
        <v>26356.0</v>
      </c>
      <c r="H243" s="31">
        <v>4.0</v>
      </c>
      <c r="I243" s="35" t="s">
        <v>75</v>
      </c>
      <c r="J243" s="35" t="s">
        <v>75</v>
      </c>
      <c r="K243" s="35" t="s">
        <v>76</v>
      </c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</row>
    <row r="244" ht="18.75" customHeight="1">
      <c r="A244" s="31">
        <v>2509.0</v>
      </c>
      <c r="B244" s="32" t="s">
        <v>316</v>
      </c>
      <c r="C244" s="32" t="s">
        <v>168</v>
      </c>
      <c r="D244" s="32" t="s">
        <v>105</v>
      </c>
      <c r="E244" s="33">
        <v>13.0</v>
      </c>
      <c r="F244" s="33">
        <v>606.0</v>
      </c>
      <c r="G244" s="34">
        <v>27342.0</v>
      </c>
      <c r="H244" s="31">
        <v>9.0</v>
      </c>
      <c r="I244" s="35" t="s">
        <v>76</v>
      </c>
      <c r="J244" s="35" t="s">
        <v>76</v>
      </c>
      <c r="K244" s="35" t="s">
        <v>76</v>
      </c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</row>
    <row r="245" ht="18.75" customHeight="1">
      <c r="A245" s="31">
        <v>2851.0</v>
      </c>
      <c r="B245" s="32" t="s">
        <v>317</v>
      </c>
      <c r="C245" s="32" t="s">
        <v>206</v>
      </c>
      <c r="D245" s="32" t="s">
        <v>79</v>
      </c>
      <c r="E245" s="33">
        <v>12.0</v>
      </c>
      <c r="F245" s="33">
        <v>735.0</v>
      </c>
      <c r="G245" s="34">
        <v>34216.0</v>
      </c>
      <c r="H245" s="31">
        <v>4.0</v>
      </c>
      <c r="I245" s="35" t="s">
        <v>76</v>
      </c>
      <c r="J245" s="35" t="s">
        <v>76</v>
      </c>
      <c r="K245" s="35" t="s">
        <v>76</v>
      </c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</row>
    <row r="246" ht="18.75" customHeight="1">
      <c r="A246" s="31">
        <v>4932.0</v>
      </c>
      <c r="B246" s="32" t="s">
        <v>318</v>
      </c>
      <c r="C246" s="32" t="s">
        <v>81</v>
      </c>
      <c r="D246" s="32" t="s">
        <v>82</v>
      </c>
      <c r="E246" s="33">
        <v>13.0</v>
      </c>
      <c r="F246" s="33">
        <v>12.0</v>
      </c>
      <c r="G246" s="34">
        <v>27620.0</v>
      </c>
      <c r="H246" s="31">
        <v>6.0</v>
      </c>
      <c r="I246" s="35" t="s">
        <v>76</v>
      </c>
      <c r="J246" s="35" t="s">
        <v>75</v>
      </c>
      <c r="K246" s="35" t="s">
        <v>76</v>
      </c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</row>
    <row r="247" ht="18.75" customHeight="1">
      <c r="A247" s="31">
        <v>2572.0</v>
      </c>
      <c r="B247" s="32" t="s">
        <v>319</v>
      </c>
      <c r="C247" s="32" t="s">
        <v>224</v>
      </c>
      <c r="D247" s="32" t="s">
        <v>79</v>
      </c>
      <c r="E247" s="33">
        <v>5.0</v>
      </c>
      <c r="F247" s="33">
        <v>713.0</v>
      </c>
      <c r="G247" s="34">
        <v>26495.0</v>
      </c>
      <c r="H247" s="31">
        <v>3.0</v>
      </c>
      <c r="I247" s="35" t="s">
        <v>75</v>
      </c>
      <c r="J247" s="35" t="s">
        <v>75</v>
      </c>
      <c r="K247" s="35" t="s">
        <v>76</v>
      </c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</row>
    <row r="248" ht="18.75" customHeight="1">
      <c r="A248" s="31">
        <v>5136.0</v>
      </c>
      <c r="B248" s="32" t="s">
        <v>320</v>
      </c>
      <c r="C248" s="32" t="s">
        <v>297</v>
      </c>
      <c r="D248" s="32" t="s">
        <v>88</v>
      </c>
      <c r="E248" s="33">
        <v>7.0</v>
      </c>
      <c r="F248" s="33">
        <v>226.0</v>
      </c>
      <c r="G248" s="34">
        <v>23802.0</v>
      </c>
      <c r="H248" s="31">
        <v>7.0</v>
      </c>
      <c r="I248" s="35" t="s">
        <v>76</v>
      </c>
      <c r="J248" s="35" t="s">
        <v>75</v>
      </c>
      <c r="K248" s="35" t="s">
        <v>76</v>
      </c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</row>
    <row r="249" ht="18.75" customHeight="1">
      <c r="A249" s="31">
        <v>3669.0</v>
      </c>
      <c r="B249" s="32" t="s">
        <v>321</v>
      </c>
      <c r="C249" s="32" t="s">
        <v>104</v>
      </c>
      <c r="D249" s="32" t="s">
        <v>105</v>
      </c>
      <c r="E249" s="33">
        <v>9.0</v>
      </c>
      <c r="F249" s="33">
        <v>939.0</v>
      </c>
      <c r="G249" s="34">
        <v>30949.0</v>
      </c>
      <c r="H249" s="31">
        <v>2.0</v>
      </c>
      <c r="I249" s="35" t="s">
        <v>76</v>
      </c>
      <c r="J249" s="35" t="s">
        <v>75</v>
      </c>
      <c r="K249" s="35" t="s">
        <v>76</v>
      </c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</row>
    <row r="250" ht="18.75" customHeight="1">
      <c r="A250" s="31">
        <v>4705.0</v>
      </c>
      <c r="B250" s="32" t="s">
        <v>322</v>
      </c>
      <c r="C250" s="32" t="s">
        <v>99</v>
      </c>
      <c r="D250" s="32" t="s">
        <v>100</v>
      </c>
      <c r="E250" s="33">
        <v>1.0</v>
      </c>
      <c r="F250" s="33">
        <v>718.0</v>
      </c>
      <c r="G250" s="34">
        <v>20732.0</v>
      </c>
      <c r="H250" s="31">
        <v>8.0</v>
      </c>
      <c r="I250" s="35" t="s">
        <v>75</v>
      </c>
      <c r="J250" s="35" t="s">
        <v>75</v>
      </c>
      <c r="K250" s="35" t="s">
        <v>75</v>
      </c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</row>
    <row r="251" ht="18.75" customHeight="1">
      <c r="A251" s="31">
        <v>3032.0</v>
      </c>
      <c r="B251" s="32" t="s">
        <v>323</v>
      </c>
      <c r="C251" s="32" t="s">
        <v>228</v>
      </c>
      <c r="D251" s="32" t="s">
        <v>82</v>
      </c>
      <c r="E251" s="33">
        <v>3.0</v>
      </c>
      <c r="F251" s="33">
        <v>803.0</v>
      </c>
      <c r="G251" s="34">
        <v>21965.0</v>
      </c>
      <c r="H251" s="31">
        <v>8.0</v>
      </c>
      <c r="I251" s="35" t="s">
        <v>75</v>
      </c>
      <c r="J251" s="35" t="s">
        <v>75</v>
      </c>
      <c r="K251" s="35" t="s">
        <v>75</v>
      </c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</row>
    <row r="252" ht="18.75" customHeight="1">
      <c r="A252" s="31">
        <v>5222.0</v>
      </c>
      <c r="B252" s="32" t="s">
        <v>324</v>
      </c>
      <c r="C252" s="32" t="s">
        <v>201</v>
      </c>
      <c r="D252" s="32" t="s">
        <v>100</v>
      </c>
      <c r="E252" s="33">
        <v>7.0</v>
      </c>
      <c r="F252" s="33">
        <v>340.0</v>
      </c>
      <c r="G252" s="34">
        <v>20134.0</v>
      </c>
      <c r="H252" s="31">
        <v>3.0</v>
      </c>
      <c r="I252" s="35" t="s">
        <v>75</v>
      </c>
      <c r="J252" s="35" t="s">
        <v>76</v>
      </c>
      <c r="K252" s="35" t="s">
        <v>75</v>
      </c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</row>
    <row r="253" ht="18.75" customHeight="1">
      <c r="A253" s="31">
        <v>3091.0</v>
      </c>
      <c r="B253" s="32" t="s">
        <v>325</v>
      </c>
      <c r="C253" s="32" t="s">
        <v>73</v>
      </c>
      <c r="D253" s="32" t="s">
        <v>74</v>
      </c>
      <c r="E253" s="33">
        <v>7.0</v>
      </c>
      <c r="F253" s="33">
        <v>463.0</v>
      </c>
      <c r="G253" s="34">
        <v>26018.0</v>
      </c>
      <c r="H253" s="31">
        <v>4.0</v>
      </c>
      <c r="I253" s="35" t="s">
        <v>75</v>
      </c>
      <c r="J253" s="35" t="s">
        <v>76</v>
      </c>
      <c r="K253" s="35" t="s">
        <v>75</v>
      </c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</row>
    <row r="254" ht="18.75" customHeight="1">
      <c r="A254" s="31">
        <v>3363.0</v>
      </c>
      <c r="B254" s="32" t="s">
        <v>326</v>
      </c>
      <c r="C254" s="32" t="s">
        <v>145</v>
      </c>
      <c r="D254" s="32" t="s">
        <v>82</v>
      </c>
      <c r="E254" s="33">
        <v>5.0</v>
      </c>
      <c r="F254" s="33">
        <v>58.0</v>
      </c>
      <c r="G254" s="34">
        <v>22159.0</v>
      </c>
      <c r="H254" s="31">
        <v>1.0</v>
      </c>
      <c r="I254" s="35" t="s">
        <v>75</v>
      </c>
      <c r="J254" s="35" t="s">
        <v>76</v>
      </c>
      <c r="K254" s="35" t="s">
        <v>76</v>
      </c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</row>
    <row r="255" ht="18.75" customHeight="1">
      <c r="A255" s="31">
        <v>5122.0</v>
      </c>
      <c r="B255" s="32" t="s">
        <v>327</v>
      </c>
      <c r="C255" s="32" t="s">
        <v>305</v>
      </c>
      <c r="D255" s="32" t="s">
        <v>125</v>
      </c>
      <c r="E255" s="33">
        <v>9.0</v>
      </c>
      <c r="F255" s="33">
        <v>308.0</v>
      </c>
      <c r="G255" s="34">
        <v>28756.0</v>
      </c>
      <c r="H255" s="31">
        <v>1.0</v>
      </c>
      <c r="I255" s="35" t="s">
        <v>76</v>
      </c>
      <c r="J255" s="35" t="s">
        <v>75</v>
      </c>
      <c r="K255" s="35" t="s">
        <v>75</v>
      </c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</row>
    <row r="256" ht="18.75" customHeight="1">
      <c r="A256" s="31">
        <v>2400.0</v>
      </c>
      <c r="B256" s="32" t="s">
        <v>328</v>
      </c>
      <c r="C256" s="32" t="s">
        <v>174</v>
      </c>
      <c r="D256" s="32" t="s">
        <v>166</v>
      </c>
      <c r="E256" s="33">
        <v>2.0</v>
      </c>
      <c r="F256" s="33">
        <v>54.0</v>
      </c>
      <c r="G256" s="34">
        <v>27199.0</v>
      </c>
      <c r="H256" s="31">
        <v>2.0</v>
      </c>
      <c r="I256" s="35" t="s">
        <v>75</v>
      </c>
      <c r="J256" s="35" t="s">
        <v>76</v>
      </c>
      <c r="K256" s="35" t="s">
        <v>75</v>
      </c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</row>
    <row r="257" ht="18.75" customHeight="1">
      <c r="A257" s="31">
        <v>3372.0</v>
      </c>
      <c r="B257" s="32" t="s">
        <v>329</v>
      </c>
      <c r="C257" s="32" t="s">
        <v>87</v>
      </c>
      <c r="D257" s="32" t="s">
        <v>88</v>
      </c>
      <c r="E257" s="33">
        <v>5.0</v>
      </c>
      <c r="F257" s="33">
        <v>749.0</v>
      </c>
      <c r="G257" s="34">
        <v>31385.0</v>
      </c>
      <c r="H257" s="31">
        <v>9.0</v>
      </c>
      <c r="I257" s="35" t="s">
        <v>76</v>
      </c>
      <c r="J257" s="35" t="s">
        <v>76</v>
      </c>
      <c r="K257" s="35" t="s">
        <v>76</v>
      </c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</row>
    <row r="258" ht="18.75" customHeight="1">
      <c r="A258" s="31">
        <v>3358.0</v>
      </c>
      <c r="B258" s="32" t="s">
        <v>330</v>
      </c>
      <c r="C258" s="32" t="s">
        <v>165</v>
      </c>
      <c r="D258" s="32" t="s">
        <v>166</v>
      </c>
      <c r="E258" s="33">
        <v>2.0</v>
      </c>
      <c r="F258" s="33">
        <v>272.0</v>
      </c>
      <c r="G258" s="36">
        <v>20787.0</v>
      </c>
      <c r="H258" s="31">
        <v>6.0</v>
      </c>
      <c r="I258" s="35" t="s">
        <v>76</v>
      </c>
      <c r="J258" s="35" t="s">
        <v>75</v>
      </c>
      <c r="K258" s="35" t="s">
        <v>76</v>
      </c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</row>
    <row r="259" ht="18.75" customHeight="1">
      <c r="A259" s="31">
        <v>3936.0</v>
      </c>
      <c r="B259" s="32" t="s">
        <v>331</v>
      </c>
      <c r="C259" s="32" t="s">
        <v>81</v>
      </c>
      <c r="D259" s="32" t="s">
        <v>82</v>
      </c>
      <c r="E259" s="33">
        <v>14.0</v>
      </c>
      <c r="F259" s="33">
        <v>245.0</v>
      </c>
      <c r="G259" s="34">
        <v>34810.0</v>
      </c>
      <c r="H259" s="31">
        <v>8.0</v>
      </c>
      <c r="I259" s="35" t="s">
        <v>76</v>
      </c>
      <c r="J259" s="35" t="s">
        <v>75</v>
      </c>
      <c r="K259" s="35" t="s">
        <v>76</v>
      </c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</row>
    <row r="260" ht="18.75" customHeight="1">
      <c r="A260" s="31">
        <v>3190.0</v>
      </c>
      <c r="B260" s="32" t="s">
        <v>332</v>
      </c>
      <c r="C260" s="32" t="s">
        <v>84</v>
      </c>
      <c r="D260" s="32" t="s">
        <v>85</v>
      </c>
      <c r="E260" s="33">
        <v>14.0</v>
      </c>
      <c r="F260" s="33">
        <v>356.0</v>
      </c>
      <c r="G260" s="34">
        <v>31433.0</v>
      </c>
      <c r="H260" s="31">
        <v>9.0</v>
      </c>
      <c r="I260" s="35" t="s">
        <v>75</v>
      </c>
      <c r="J260" s="35" t="s">
        <v>75</v>
      </c>
      <c r="K260" s="35" t="s">
        <v>76</v>
      </c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</row>
    <row r="261" ht="18.75" customHeight="1">
      <c r="A261" s="31">
        <v>5531.0</v>
      </c>
      <c r="B261" s="32" t="s">
        <v>333</v>
      </c>
      <c r="C261" s="32" t="s">
        <v>334</v>
      </c>
      <c r="D261" s="32" t="s">
        <v>179</v>
      </c>
      <c r="E261" s="33">
        <v>1.0</v>
      </c>
      <c r="F261" s="33">
        <v>699.0</v>
      </c>
      <c r="G261" s="36">
        <v>27016.0</v>
      </c>
      <c r="H261" s="31">
        <v>6.0</v>
      </c>
      <c r="I261" s="35" t="s">
        <v>76</v>
      </c>
      <c r="J261" s="35" t="s">
        <v>75</v>
      </c>
      <c r="K261" s="35" t="s">
        <v>75</v>
      </c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</row>
    <row r="262" ht="18.75" customHeight="1">
      <c r="A262" s="31">
        <v>4572.0</v>
      </c>
      <c r="B262" s="32" t="s">
        <v>335</v>
      </c>
      <c r="C262" s="32" t="s">
        <v>158</v>
      </c>
      <c r="D262" s="32" t="s">
        <v>74</v>
      </c>
      <c r="E262" s="33">
        <v>14.0</v>
      </c>
      <c r="F262" s="33">
        <v>921.0</v>
      </c>
      <c r="G262" s="34">
        <v>26857.0</v>
      </c>
      <c r="H262" s="31">
        <v>5.0</v>
      </c>
      <c r="I262" s="35" t="s">
        <v>75</v>
      </c>
      <c r="J262" s="35" t="s">
        <v>75</v>
      </c>
      <c r="K262" s="35" t="s">
        <v>76</v>
      </c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</row>
    <row r="263" ht="18.75" customHeight="1">
      <c r="A263" s="31">
        <v>4576.0</v>
      </c>
      <c r="B263" s="32" t="s">
        <v>336</v>
      </c>
      <c r="C263" s="32" t="s">
        <v>158</v>
      </c>
      <c r="D263" s="32" t="s">
        <v>74</v>
      </c>
      <c r="E263" s="33">
        <v>5.0</v>
      </c>
      <c r="F263" s="33">
        <v>349.0</v>
      </c>
      <c r="G263" s="34">
        <v>24372.0</v>
      </c>
      <c r="H263" s="31">
        <v>6.0</v>
      </c>
      <c r="I263" s="35" t="s">
        <v>75</v>
      </c>
      <c r="J263" s="35" t="s">
        <v>76</v>
      </c>
      <c r="K263" s="35" t="s">
        <v>75</v>
      </c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</row>
    <row r="264" ht="18.75" customHeight="1">
      <c r="A264" s="31">
        <v>5485.0</v>
      </c>
      <c r="B264" s="32" t="s">
        <v>337</v>
      </c>
      <c r="C264" s="32" t="s">
        <v>156</v>
      </c>
      <c r="D264" s="32" t="s">
        <v>79</v>
      </c>
      <c r="E264" s="33">
        <v>10.0</v>
      </c>
      <c r="F264" s="33">
        <v>986.0</v>
      </c>
      <c r="G264" s="34">
        <v>34098.0</v>
      </c>
      <c r="H264" s="31">
        <v>5.0</v>
      </c>
      <c r="I264" s="35" t="s">
        <v>76</v>
      </c>
      <c r="J264" s="35" t="s">
        <v>75</v>
      </c>
      <c r="K264" s="35" t="s">
        <v>75</v>
      </c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</row>
    <row r="265" ht="18.75" customHeight="1">
      <c r="A265" s="31">
        <v>4301.0</v>
      </c>
      <c r="B265" s="32" t="s">
        <v>338</v>
      </c>
      <c r="C265" s="32" t="s">
        <v>81</v>
      </c>
      <c r="D265" s="32" t="s">
        <v>82</v>
      </c>
      <c r="E265" s="33">
        <v>15.0</v>
      </c>
      <c r="F265" s="33">
        <v>592.0</v>
      </c>
      <c r="G265" s="34">
        <v>32256.0</v>
      </c>
      <c r="H265" s="31">
        <v>2.0</v>
      </c>
      <c r="I265" s="35" t="s">
        <v>76</v>
      </c>
      <c r="J265" s="35" t="s">
        <v>76</v>
      </c>
      <c r="K265" s="35" t="s">
        <v>76</v>
      </c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</row>
    <row r="266" ht="18.75" customHeight="1">
      <c r="A266" s="31">
        <v>5491.0</v>
      </c>
      <c r="B266" s="32" t="s">
        <v>339</v>
      </c>
      <c r="C266" s="32" t="s">
        <v>78</v>
      </c>
      <c r="D266" s="32" t="s">
        <v>79</v>
      </c>
      <c r="E266" s="33">
        <v>6.0</v>
      </c>
      <c r="F266" s="33">
        <v>779.0</v>
      </c>
      <c r="G266" s="34">
        <v>28354.0</v>
      </c>
      <c r="H266" s="31">
        <v>9.0</v>
      </c>
      <c r="I266" s="35" t="s">
        <v>76</v>
      </c>
      <c r="J266" s="35" t="s">
        <v>76</v>
      </c>
      <c r="K266" s="35" t="s">
        <v>75</v>
      </c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</row>
    <row r="267" ht="18.75" customHeight="1">
      <c r="A267" s="31">
        <v>4233.0</v>
      </c>
      <c r="B267" s="32" t="s">
        <v>340</v>
      </c>
      <c r="C267" s="32" t="s">
        <v>102</v>
      </c>
      <c r="D267" s="32" t="s">
        <v>88</v>
      </c>
      <c r="E267" s="33">
        <v>5.0</v>
      </c>
      <c r="F267" s="33">
        <v>973.0</v>
      </c>
      <c r="G267" s="34">
        <v>30024.0</v>
      </c>
      <c r="H267" s="31">
        <v>6.0</v>
      </c>
      <c r="I267" s="35" t="s">
        <v>76</v>
      </c>
      <c r="J267" s="35" t="s">
        <v>76</v>
      </c>
      <c r="K267" s="35" t="s">
        <v>76</v>
      </c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</row>
    <row r="268" ht="18.75" customHeight="1">
      <c r="A268" s="31">
        <v>4834.0</v>
      </c>
      <c r="B268" s="32" t="s">
        <v>341</v>
      </c>
      <c r="C268" s="32" t="s">
        <v>342</v>
      </c>
      <c r="D268" s="32" t="s">
        <v>105</v>
      </c>
      <c r="E268" s="33">
        <v>8.0</v>
      </c>
      <c r="F268" s="33">
        <v>274.0</v>
      </c>
      <c r="G268" s="34">
        <v>29561.0</v>
      </c>
      <c r="H268" s="31">
        <v>1.0</v>
      </c>
      <c r="I268" s="35" t="s">
        <v>76</v>
      </c>
      <c r="J268" s="35" t="s">
        <v>75</v>
      </c>
      <c r="K268" s="35" t="s">
        <v>75</v>
      </c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</row>
    <row r="269" ht="18.75" customHeight="1">
      <c r="A269" s="31">
        <v>3068.0</v>
      </c>
      <c r="B269" s="32" t="s">
        <v>343</v>
      </c>
      <c r="C269" s="32" t="s">
        <v>201</v>
      </c>
      <c r="D269" s="32" t="s">
        <v>100</v>
      </c>
      <c r="E269" s="33">
        <v>4.0</v>
      </c>
      <c r="F269" s="33">
        <v>997.0</v>
      </c>
      <c r="G269" s="34">
        <v>23040.0</v>
      </c>
      <c r="H269" s="31">
        <v>4.0</v>
      </c>
      <c r="I269" s="35" t="s">
        <v>76</v>
      </c>
      <c r="J269" s="35" t="s">
        <v>76</v>
      </c>
      <c r="K269" s="35" t="s">
        <v>76</v>
      </c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</row>
    <row r="270" ht="18.75" customHeight="1">
      <c r="A270" s="31">
        <v>5553.0</v>
      </c>
      <c r="B270" s="32" t="s">
        <v>344</v>
      </c>
      <c r="C270" s="32" t="s">
        <v>78</v>
      </c>
      <c r="D270" s="32" t="s">
        <v>79</v>
      </c>
      <c r="E270" s="33">
        <v>10.0</v>
      </c>
      <c r="F270" s="33">
        <v>628.0</v>
      </c>
      <c r="G270" s="34">
        <v>31500.0</v>
      </c>
      <c r="H270" s="31">
        <v>10.0</v>
      </c>
      <c r="I270" s="35" t="s">
        <v>76</v>
      </c>
      <c r="J270" s="35" t="s">
        <v>75</v>
      </c>
      <c r="K270" s="35" t="s">
        <v>76</v>
      </c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</row>
    <row r="271" ht="18.75" customHeight="1">
      <c r="A271" s="31">
        <v>4699.0</v>
      </c>
      <c r="B271" s="32" t="s">
        <v>345</v>
      </c>
      <c r="C271" s="32" t="s">
        <v>78</v>
      </c>
      <c r="D271" s="32" t="s">
        <v>79</v>
      </c>
      <c r="E271" s="33">
        <v>13.0</v>
      </c>
      <c r="F271" s="33">
        <v>487.0</v>
      </c>
      <c r="G271" s="34">
        <v>34854.0</v>
      </c>
      <c r="H271" s="31">
        <v>2.0</v>
      </c>
      <c r="I271" s="35" t="s">
        <v>76</v>
      </c>
      <c r="J271" s="35" t="s">
        <v>75</v>
      </c>
      <c r="K271" s="35" t="s">
        <v>75</v>
      </c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</row>
    <row r="272" ht="18.75" customHeight="1">
      <c r="A272" s="31">
        <v>5443.0</v>
      </c>
      <c r="B272" s="32" t="s">
        <v>346</v>
      </c>
      <c r="C272" s="32" t="s">
        <v>347</v>
      </c>
      <c r="D272" s="32" t="s">
        <v>139</v>
      </c>
      <c r="E272" s="33">
        <v>9.0</v>
      </c>
      <c r="F272" s="33">
        <v>190.0</v>
      </c>
      <c r="G272" s="34">
        <v>29642.0</v>
      </c>
      <c r="H272" s="31">
        <v>3.0</v>
      </c>
      <c r="I272" s="35" t="s">
        <v>75</v>
      </c>
      <c r="J272" s="35" t="s">
        <v>76</v>
      </c>
      <c r="K272" s="35" t="s">
        <v>75</v>
      </c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</row>
    <row r="273" ht="18.75" customHeight="1">
      <c r="A273" s="31">
        <v>4246.0</v>
      </c>
      <c r="B273" s="32" t="s">
        <v>348</v>
      </c>
      <c r="C273" s="32" t="s">
        <v>216</v>
      </c>
      <c r="D273" s="32" t="s">
        <v>154</v>
      </c>
      <c r="E273" s="33">
        <v>6.0</v>
      </c>
      <c r="F273" s="33">
        <v>8.0</v>
      </c>
      <c r="G273" s="36">
        <v>24103.0</v>
      </c>
      <c r="H273" s="31">
        <v>7.0</v>
      </c>
      <c r="I273" s="35" t="s">
        <v>75</v>
      </c>
      <c r="J273" s="35" t="s">
        <v>76</v>
      </c>
      <c r="K273" s="35" t="s">
        <v>75</v>
      </c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</row>
    <row r="274" ht="18.75" customHeight="1">
      <c r="A274" s="31">
        <v>4353.0</v>
      </c>
      <c r="B274" s="32" t="s">
        <v>349</v>
      </c>
      <c r="C274" s="32" t="s">
        <v>73</v>
      </c>
      <c r="D274" s="32" t="s">
        <v>74</v>
      </c>
      <c r="E274" s="33">
        <v>13.0</v>
      </c>
      <c r="F274" s="33">
        <v>47.0</v>
      </c>
      <c r="G274" s="34">
        <v>25395.0</v>
      </c>
      <c r="H274" s="31">
        <v>4.0</v>
      </c>
      <c r="I274" s="35" t="s">
        <v>75</v>
      </c>
      <c r="J274" s="35" t="s">
        <v>76</v>
      </c>
      <c r="K274" s="35" t="s">
        <v>76</v>
      </c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</row>
    <row r="275" ht="18.75" customHeight="1">
      <c r="A275" s="31">
        <v>3700.0</v>
      </c>
      <c r="B275" s="32" t="s">
        <v>350</v>
      </c>
      <c r="C275" s="32" t="s">
        <v>84</v>
      </c>
      <c r="D275" s="32" t="s">
        <v>85</v>
      </c>
      <c r="E275" s="33">
        <v>5.0</v>
      </c>
      <c r="F275" s="33">
        <v>757.0</v>
      </c>
      <c r="G275" s="36">
        <v>21106.0</v>
      </c>
      <c r="H275" s="31">
        <v>3.0</v>
      </c>
      <c r="I275" s="35" t="s">
        <v>75</v>
      </c>
      <c r="J275" s="35" t="s">
        <v>76</v>
      </c>
      <c r="K275" s="35" t="s">
        <v>75</v>
      </c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</row>
    <row r="276" ht="18.75" customHeight="1">
      <c r="A276" s="31">
        <v>3685.0</v>
      </c>
      <c r="B276" s="32" t="s">
        <v>351</v>
      </c>
      <c r="C276" s="32" t="s">
        <v>84</v>
      </c>
      <c r="D276" s="32" t="s">
        <v>85</v>
      </c>
      <c r="E276" s="33">
        <v>7.0</v>
      </c>
      <c r="F276" s="33">
        <v>317.0</v>
      </c>
      <c r="G276" s="34">
        <v>25825.0</v>
      </c>
      <c r="H276" s="31">
        <v>9.0</v>
      </c>
      <c r="I276" s="35" t="s">
        <v>76</v>
      </c>
      <c r="J276" s="35" t="s">
        <v>76</v>
      </c>
      <c r="K276" s="35" t="s">
        <v>75</v>
      </c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</row>
    <row r="277" ht="18.75" customHeight="1">
      <c r="A277" s="31">
        <v>2509.0</v>
      </c>
      <c r="B277" s="32" t="s">
        <v>352</v>
      </c>
      <c r="C277" s="32" t="s">
        <v>87</v>
      </c>
      <c r="D277" s="32" t="s">
        <v>88</v>
      </c>
      <c r="E277" s="33">
        <v>8.0</v>
      </c>
      <c r="F277" s="33">
        <v>19.0</v>
      </c>
      <c r="G277" s="34">
        <v>33392.0</v>
      </c>
      <c r="H277" s="31">
        <v>6.0</v>
      </c>
      <c r="I277" s="35" t="s">
        <v>75</v>
      </c>
      <c r="J277" s="35" t="s">
        <v>76</v>
      </c>
      <c r="K277" s="35" t="s">
        <v>75</v>
      </c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</row>
    <row r="278" ht="18.75" customHeight="1">
      <c r="A278" s="31">
        <v>2795.0</v>
      </c>
      <c r="B278" s="32" t="s">
        <v>353</v>
      </c>
      <c r="C278" s="32" t="s">
        <v>194</v>
      </c>
      <c r="D278" s="32" t="s">
        <v>85</v>
      </c>
      <c r="E278" s="33">
        <v>6.0</v>
      </c>
      <c r="F278" s="33">
        <v>955.0</v>
      </c>
      <c r="G278" s="34">
        <v>25427.0</v>
      </c>
      <c r="H278" s="31">
        <v>8.0</v>
      </c>
      <c r="I278" s="35" t="s">
        <v>75</v>
      </c>
      <c r="J278" s="35" t="s">
        <v>76</v>
      </c>
      <c r="K278" s="35" t="s">
        <v>75</v>
      </c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</row>
    <row r="279" ht="18.75" customHeight="1">
      <c r="A279" s="31">
        <v>2496.0</v>
      </c>
      <c r="B279" s="32" t="s">
        <v>354</v>
      </c>
      <c r="C279" s="32" t="s">
        <v>145</v>
      </c>
      <c r="D279" s="32" t="s">
        <v>82</v>
      </c>
      <c r="E279" s="33">
        <v>9.0</v>
      </c>
      <c r="F279" s="33">
        <v>314.0</v>
      </c>
      <c r="G279" s="34">
        <v>31141.0</v>
      </c>
      <c r="H279" s="31">
        <v>4.0</v>
      </c>
      <c r="I279" s="35" t="s">
        <v>76</v>
      </c>
      <c r="J279" s="35" t="s">
        <v>76</v>
      </c>
      <c r="K279" s="35" t="s">
        <v>75</v>
      </c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</row>
    <row r="280" ht="18.75" customHeight="1">
      <c r="A280" s="31">
        <v>3004.0</v>
      </c>
      <c r="B280" s="32" t="s">
        <v>355</v>
      </c>
      <c r="C280" s="32" t="s">
        <v>81</v>
      </c>
      <c r="D280" s="32" t="s">
        <v>82</v>
      </c>
      <c r="E280" s="33">
        <v>3.0</v>
      </c>
      <c r="F280" s="33">
        <v>614.0</v>
      </c>
      <c r="G280" s="34">
        <v>31755.0</v>
      </c>
      <c r="H280" s="31">
        <v>4.0</v>
      </c>
      <c r="I280" s="35" t="s">
        <v>76</v>
      </c>
      <c r="J280" s="35" t="s">
        <v>75</v>
      </c>
      <c r="K280" s="35" t="s">
        <v>75</v>
      </c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</row>
    <row r="281" ht="18.75" customHeight="1">
      <c r="A281" s="31">
        <v>2330.0</v>
      </c>
      <c r="B281" s="32" t="s">
        <v>356</v>
      </c>
      <c r="C281" s="32" t="s">
        <v>143</v>
      </c>
      <c r="D281" s="32" t="s">
        <v>94</v>
      </c>
      <c r="E281" s="33">
        <v>9.0</v>
      </c>
      <c r="F281" s="33">
        <v>669.0</v>
      </c>
      <c r="G281" s="34">
        <v>27006.0</v>
      </c>
      <c r="H281" s="31">
        <v>4.0</v>
      </c>
      <c r="I281" s="35" t="s">
        <v>76</v>
      </c>
      <c r="J281" s="35" t="s">
        <v>75</v>
      </c>
      <c r="K281" s="35" t="s">
        <v>75</v>
      </c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</row>
    <row r="282" ht="18.75" customHeight="1">
      <c r="A282" s="31">
        <v>4858.0</v>
      </c>
      <c r="B282" s="32" t="s">
        <v>357</v>
      </c>
      <c r="C282" s="32" t="s">
        <v>358</v>
      </c>
      <c r="D282" s="32" t="s">
        <v>114</v>
      </c>
      <c r="E282" s="33">
        <v>7.0</v>
      </c>
      <c r="F282" s="33">
        <v>149.0</v>
      </c>
      <c r="G282" s="34">
        <v>28021.0</v>
      </c>
      <c r="H282" s="31">
        <v>8.0</v>
      </c>
      <c r="I282" s="35" t="s">
        <v>76</v>
      </c>
      <c r="J282" s="35" t="s">
        <v>75</v>
      </c>
      <c r="K282" s="35" t="s">
        <v>76</v>
      </c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</row>
    <row r="283" ht="18.75" customHeight="1">
      <c r="A283" s="31">
        <v>5256.0</v>
      </c>
      <c r="B283" s="32" t="s">
        <v>359</v>
      </c>
      <c r="C283" s="32" t="s">
        <v>93</v>
      </c>
      <c r="D283" s="32" t="s">
        <v>94</v>
      </c>
      <c r="E283" s="33">
        <v>14.0</v>
      </c>
      <c r="F283" s="33">
        <v>353.0</v>
      </c>
      <c r="G283" s="34">
        <v>23160.0</v>
      </c>
      <c r="H283" s="31">
        <v>9.0</v>
      </c>
      <c r="I283" s="35" t="s">
        <v>75</v>
      </c>
      <c r="J283" s="35" t="s">
        <v>75</v>
      </c>
      <c r="K283" s="35" t="s">
        <v>75</v>
      </c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</row>
    <row r="284" ht="18.75" customHeight="1">
      <c r="A284" s="31">
        <v>3894.0</v>
      </c>
      <c r="B284" s="32" t="s">
        <v>360</v>
      </c>
      <c r="C284" s="32" t="s">
        <v>361</v>
      </c>
      <c r="D284" s="32" t="s">
        <v>105</v>
      </c>
      <c r="E284" s="33">
        <v>11.0</v>
      </c>
      <c r="F284" s="33">
        <v>121.0</v>
      </c>
      <c r="G284" s="34">
        <v>27270.0</v>
      </c>
      <c r="H284" s="31">
        <v>1.0</v>
      </c>
      <c r="I284" s="35" t="s">
        <v>76</v>
      </c>
      <c r="J284" s="35" t="s">
        <v>76</v>
      </c>
      <c r="K284" s="35" t="s">
        <v>75</v>
      </c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</row>
    <row r="285" ht="18.75" customHeight="1">
      <c r="A285" s="31">
        <v>2500.0</v>
      </c>
      <c r="B285" s="32" t="s">
        <v>362</v>
      </c>
      <c r="C285" s="32" t="s">
        <v>147</v>
      </c>
      <c r="D285" s="32" t="s">
        <v>94</v>
      </c>
      <c r="E285" s="33">
        <v>13.0</v>
      </c>
      <c r="F285" s="33">
        <v>424.0</v>
      </c>
      <c r="G285" s="34">
        <v>27642.0</v>
      </c>
      <c r="H285" s="31">
        <v>1.0</v>
      </c>
      <c r="I285" s="35" t="s">
        <v>75</v>
      </c>
      <c r="J285" s="35" t="s">
        <v>75</v>
      </c>
      <c r="K285" s="35" t="s">
        <v>75</v>
      </c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</row>
    <row r="286" ht="18.75" customHeight="1">
      <c r="A286" s="31">
        <v>3488.0</v>
      </c>
      <c r="B286" s="32" t="s">
        <v>363</v>
      </c>
      <c r="C286" s="32" t="s">
        <v>305</v>
      </c>
      <c r="D286" s="32" t="s">
        <v>125</v>
      </c>
      <c r="E286" s="33">
        <v>11.0</v>
      </c>
      <c r="F286" s="33">
        <v>677.0</v>
      </c>
      <c r="G286" s="34">
        <v>27366.0</v>
      </c>
      <c r="H286" s="31">
        <v>8.0</v>
      </c>
      <c r="I286" s="35" t="s">
        <v>75</v>
      </c>
      <c r="J286" s="35" t="s">
        <v>75</v>
      </c>
      <c r="K286" s="35" t="s">
        <v>75</v>
      </c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</row>
    <row r="287" ht="18.75" customHeight="1">
      <c r="A287" s="31">
        <v>2639.0</v>
      </c>
      <c r="B287" s="32" t="s">
        <v>364</v>
      </c>
      <c r="C287" s="32" t="s">
        <v>158</v>
      </c>
      <c r="D287" s="32" t="s">
        <v>74</v>
      </c>
      <c r="E287" s="33">
        <v>8.0</v>
      </c>
      <c r="F287" s="33">
        <v>738.0</v>
      </c>
      <c r="G287" s="36">
        <v>26625.0</v>
      </c>
      <c r="H287" s="31">
        <v>10.0</v>
      </c>
      <c r="I287" s="35" t="s">
        <v>76</v>
      </c>
      <c r="J287" s="35" t="s">
        <v>76</v>
      </c>
      <c r="K287" s="35" t="s">
        <v>75</v>
      </c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</row>
    <row r="288" ht="18.75" customHeight="1">
      <c r="A288" s="31">
        <v>4622.0</v>
      </c>
      <c r="B288" s="32" t="s">
        <v>365</v>
      </c>
      <c r="C288" s="32" t="s">
        <v>81</v>
      </c>
      <c r="D288" s="32" t="s">
        <v>82</v>
      </c>
      <c r="E288" s="33">
        <v>6.0</v>
      </c>
      <c r="F288" s="33">
        <v>909.0</v>
      </c>
      <c r="G288" s="34">
        <v>32184.0</v>
      </c>
      <c r="H288" s="31">
        <v>10.0</v>
      </c>
      <c r="I288" s="35" t="s">
        <v>75</v>
      </c>
      <c r="J288" s="35" t="s">
        <v>76</v>
      </c>
      <c r="K288" s="35" t="s">
        <v>75</v>
      </c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</row>
    <row r="289" ht="18.75" customHeight="1">
      <c r="A289" s="31">
        <v>2891.0</v>
      </c>
      <c r="B289" s="32" t="s">
        <v>366</v>
      </c>
      <c r="C289" s="32" t="s">
        <v>156</v>
      </c>
      <c r="D289" s="32" t="s">
        <v>79</v>
      </c>
      <c r="E289" s="33">
        <v>9.0</v>
      </c>
      <c r="F289" s="33">
        <v>517.0</v>
      </c>
      <c r="G289" s="34">
        <v>23346.0</v>
      </c>
      <c r="H289" s="31">
        <v>9.0</v>
      </c>
      <c r="I289" s="35" t="s">
        <v>76</v>
      </c>
      <c r="J289" s="35" t="s">
        <v>76</v>
      </c>
      <c r="K289" s="35" t="s">
        <v>76</v>
      </c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</row>
    <row r="290" ht="18.75" customHeight="1">
      <c r="A290" s="31">
        <v>4981.0</v>
      </c>
      <c r="B290" s="32" t="s">
        <v>367</v>
      </c>
      <c r="C290" s="32" t="s">
        <v>297</v>
      </c>
      <c r="D290" s="32" t="s">
        <v>88</v>
      </c>
      <c r="E290" s="33">
        <v>15.0</v>
      </c>
      <c r="F290" s="33">
        <v>136.0</v>
      </c>
      <c r="G290" s="34">
        <v>24661.0</v>
      </c>
      <c r="H290" s="31">
        <v>8.0</v>
      </c>
      <c r="I290" s="35" t="s">
        <v>75</v>
      </c>
      <c r="J290" s="35" t="s">
        <v>76</v>
      </c>
      <c r="K290" s="35" t="s">
        <v>75</v>
      </c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</row>
    <row r="291" ht="18.75" customHeight="1">
      <c r="A291" s="31">
        <v>3383.0</v>
      </c>
      <c r="B291" s="32" t="s">
        <v>368</v>
      </c>
      <c r="C291" s="32" t="s">
        <v>134</v>
      </c>
      <c r="D291" s="32" t="s">
        <v>97</v>
      </c>
      <c r="E291" s="33">
        <v>10.0</v>
      </c>
      <c r="F291" s="33">
        <v>854.0</v>
      </c>
      <c r="G291" s="34">
        <v>33666.0</v>
      </c>
      <c r="H291" s="31">
        <v>8.0</v>
      </c>
      <c r="I291" s="35" t="s">
        <v>76</v>
      </c>
      <c r="J291" s="35" t="s">
        <v>75</v>
      </c>
      <c r="K291" s="35" t="s">
        <v>76</v>
      </c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</row>
    <row r="292" ht="18.75" customHeight="1">
      <c r="A292" s="31">
        <v>4173.0</v>
      </c>
      <c r="B292" s="32" t="s">
        <v>369</v>
      </c>
      <c r="C292" s="32" t="s">
        <v>370</v>
      </c>
      <c r="D292" s="32" t="s">
        <v>371</v>
      </c>
      <c r="E292" s="33">
        <v>12.0</v>
      </c>
      <c r="F292" s="33">
        <v>951.0</v>
      </c>
      <c r="G292" s="34">
        <v>22743.0</v>
      </c>
      <c r="H292" s="31">
        <v>8.0</v>
      </c>
      <c r="I292" s="35" t="s">
        <v>76</v>
      </c>
      <c r="J292" s="35" t="s">
        <v>76</v>
      </c>
      <c r="K292" s="35" t="s">
        <v>75</v>
      </c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</row>
    <row r="293" ht="18.75" customHeight="1">
      <c r="A293" s="31">
        <v>2810.0</v>
      </c>
      <c r="B293" s="32" t="s">
        <v>372</v>
      </c>
      <c r="C293" s="32" t="s">
        <v>84</v>
      </c>
      <c r="D293" s="32" t="s">
        <v>85</v>
      </c>
      <c r="E293" s="33">
        <v>3.0</v>
      </c>
      <c r="F293" s="33">
        <v>466.0</v>
      </c>
      <c r="G293" s="34">
        <v>34187.0</v>
      </c>
      <c r="H293" s="31">
        <v>10.0</v>
      </c>
      <c r="I293" s="35" t="s">
        <v>75</v>
      </c>
      <c r="J293" s="35" t="s">
        <v>75</v>
      </c>
      <c r="K293" s="35" t="s">
        <v>75</v>
      </c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</row>
    <row r="294" ht="18.75" customHeight="1">
      <c r="A294" s="31">
        <v>2382.0</v>
      </c>
      <c r="B294" s="32" t="s">
        <v>373</v>
      </c>
      <c r="C294" s="32" t="s">
        <v>81</v>
      </c>
      <c r="D294" s="32" t="s">
        <v>82</v>
      </c>
      <c r="E294" s="33">
        <v>8.0</v>
      </c>
      <c r="F294" s="33">
        <v>391.0</v>
      </c>
      <c r="G294" s="34">
        <v>34346.0</v>
      </c>
      <c r="H294" s="31">
        <v>10.0</v>
      </c>
      <c r="I294" s="35" t="s">
        <v>75</v>
      </c>
      <c r="J294" s="35" t="s">
        <v>75</v>
      </c>
      <c r="K294" s="35" t="s">
        <v>76</v>
      </c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</row>
    <row r="295" ht="18.75" customHeight="1">
      <c r="A295" s="31">
        <v>3811.0</v>
      </c>
      <c r="B295" s="32" t="s">
        <v>374</v>
      </c>
      <c r="C295" s="32" t="s">
        <v>151</v>
      </c>
      <c r="D295" s="32" t="s">
        <v>88</v>
      </c>
      <c r="E295" s="33">
        <v>15.0</v>
      </c>
      <c r="F295" s="33">
        <v>992.0</v>
      </c>
      <c r="G295" s="36">
        <v>24098.0</v>
      </c>
      <c r="H295" s="31">
        <v>8.0</v>
      </c>
      <c r="I295" s="35" t="s">
        <v>75</v>
      </c>
      <c r="J295" s="35" t="s">
        <v>76</v>
      </c>
      <c r="K295" s="35" t="s">
        <v>75</v>
      </c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</row>
    <row r="296" ht="18.75" customHeight="1">
      <c r="A296" s="31">
        <v>3341.0</v>
      </c>
      <c r="B296" s="32" t="s">
        <v>375</v>
      </c>
      <c r="C296" s="32" t="s">
        <v>141</v>
      </c>
      <c r="D296" s="32" t="s">
        <v>100</v>
      </c>
      <c r="E296" s="33">
        <v>11.0</v>
      </c>
      <c r="F296" s="33">
        <v>600.0</v>
      </c>
      <c r="G296" s="34">
        <v>30205.0</v>
      </c>
      <c r="H296" s="31">
        <v>5.0</v>
      </c>
      <c r="I296" s="35" t="s">
        <v>76</v>
      </c>
      <c r="J296" s="35" t="s">
        <v>75</v>
      </c>
      <c r="K296" s="35" t="s">
        <v>76</v>
      </c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</row>
    <row r="297" ht="18.75" customHeight="1">
      <c r="A297" s="31">
        <v>4636.0</v>
      </c>
      <c r="B297" s="32" t="s">
        <v>376</v>
      </c>
      <c r="C297" s="32" t="s">
        <v>78</v>
      </c>
      <c r="D297" s="32" t="s">
        <v>79</v>
      </c>
      <c r="E297" s="33">
        <v>1.0</v>
      </c>
      <c r="F297" s="33">
        <v>335.0</v>
      </c>
      <c r="G297" s="34">
        <v>22298.0</v>
      </c>
      <c r="H297" s="31">
        <v>7.0</v>
      </c>
      <c r="I297" s="35" t="s">
        <v>75</v>
      </c>
      <c r="J297" s="35" t="s">
        <v>76</v>
      </c>
      <c r="K297" s="35" t="s">
        <v>76</v>
      </c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</row>
    <row r="298" ht="18.75" customHeight="1">
      <c r="A298" s="31">
        <v>5563.0</v>
      </c>
      <c r="B298" s="32" t="s">
        <v>377</v>
      </c>
      <c r="C298" s="32" t="s">
        <v>78</v>
      </c>
      <c r="D298" s="32" t="s">
        <v>79</v>
      </c>
      <c r="E298" s="33">
        <v>6.0</v>
      </c>
      <c r="F298" s="33">
        <v>462.0</v>
      </c>
      <c r="G298" s="34">
        <v>22871.0</v>
      </c>
      <c r="H298" s="31">
        <v>6.0</v>
      </c>
      <c r="I298" s="35" t="s">
        <v>75</v>
      </c>
      <c r="J298" s="35" t="s">
        <v>75</v>
      </c>
      <c r="K298" s="35" t="s">
        <v>76</v>
      </c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</row>
    <row r="299" ht="18.75" customHeight="1">
      <c r="A299" s="31">
        <v>2731.0</v>
      </c>
      <c r="B299" s="32" t="s">
        <v>378</v>
      </c>
      <c r="C299" s="32" t="s">
        <v>379</v>
      </c>
      <c r="D299" s="32" t="s">
        <v>79</v>
      </c>
      <c r="E299" s="33">
        <v>4.0</v>
      </c>
      <c r="F299" s="33">
        <v>245.0</v>
      </c>
      <c r="G299" s="34">
        <v>34600.0</v>
      </c>
      <c r="H299" s="31">
        <v>4.0</v>
      </c>
      <c r="I299" s="35" t="s">
        <v>75</v>
      </c>
      <c r="J299" s="35" t="s">
        <v>76</v>
      </c>
      <c r="K299" s="35" t="s">
        <v>75</v>
      </c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</row>
    <row r="300" ht="18.75" customHeight="1">
      <c r="A300" s="31">
        <v>4071.0</v>
      </c>
      <c r="B300" s="32" t="s">
        <v>380</v>
      </c>
      <c r="C300" s="32" t="s">
        <v>297</v>
      </c>
      <c r="D300" s="32" t="s">
        <v>88</v>
      </c>
      <c r="E300" s="33">
        <v>10.0</v>
      </c>
      <c r="F300" s="33">
        <v>784.0</v>
      </c>
      <c r="G300" s="34">
        <v>32262.0</v>
      </c>
      <c r="H300" s="31">
        <v>9.0</v>
      </c>
      <c r="I300" s="35" t="s">
        <v>75</v>
      </c>
      <c r="J300" s="35" t="s">
        <v>76</v>
      </c>
      <c r="K300" s="35" t="s">
        <v>75</v>
      </c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</row>
    <row r="301" ht="18.75" customHeight="1">
      <c r="A301" s="31">
        <v>4333.0</v>
      </c>
      <c r="B301" s="32" t="s">
        <v>381</v>
      </c>
      <c r="C301" s="32" t="s">
        <v>382</v>
      </c>
      <c r="D301" s="32" t="s">
        <v>125</v>
      </c>
      <c r="E301" s="33">
        <v>14.0</v>
      </c>
      <c r="F301" s="33">
        <v>295.0</v>
      </c>
      <c r="G301" s="34">
        <v>32937.0</v>
      </c>
      <c r="H301" s="31">
        <v>7.0</v>
      </c>
      <c r="I301" s="35" t="s">
        <v>75</v>
      </c>
      <c r="J301" s="35" t="s">
        <v>75</v>
      </c>
      <c r="K301" s="35" t="s">
        <v>76</v>
      </c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</row>
    <row r="302" ht="18.75" customHeight="1">
      <c r="A302" s="37"/>
      <c r="B302" s="30"/>
      <c r="C302" s="30"/>
      <c r="D302" s="30"/>
      <c r="E302" s="37"/>
      <c r="F302" s="37"/>
      <c r="G302" s="38"/>
      <c r="H302" s="37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</row>
    <row r="303" ht="18.75" customHeight="1">
      <c r="A303" s="37"/>
      <c r="B303" s="30"/>
      <c r="C303" s="30"/>
      <c r="D303" s="30"/>
      <c r="E303" s="37"/>
      <c r="F303" s="37"/>
      <c r="G303" s="38"/>
      <c r="H303" s="37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</row>
    <row r="304" ht="18.75" customHeight="1">
      <c r="A304" s="37"/>
      <c r="B304" s="30"/>
      <c r="C304" s="30"/>
      <c r="D304" s="30"/>
      <c r="E304" s="37"/>
      <c r="F304" s="37"/>
      <c r="G304" s="38"/>
      <c r="H304" s="37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</row>
    <row r="305" ht="18.75" customHeight="1">
      <c r="A305" s="37"/>
      <c r="B305" s="30"/>
      <c r="C305" s="30"/>
      <c r="D305" s="30"/>
      <c r="E305" s="37"/>
      <c r="F305" s="37"/>
      <c r="G305" s="38"/>
      <c r="H305" s="37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</row>
    <row r="306" ht="18.75" customHeight="1">
      <c r="A306" s="37"/>
      <c r="B306" s="30"/>
      <c r="C306" s="30"/>
      <c r="D306" s="30"/>
      <c r="E306" s="37"/>
      <c r="F306" s="37"/>
      <c r="G306" s="38"/>
      <c r="H306" s="37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</row>
    <row r="307" ht="18.75" customHeight="1">
      <c r="A307" s="37"/>
      <c r="B307" s="30"/>
      <c r="C307" s="30"/>
      <c r="D307" s="30"/>
      <c r="E307" s="37"/>
      <c r="F307" s="37"/>
      <c r="G307" s="38"/>
      <c r="H307" s="37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</row>
    <row r="308" ht="18.75" customHeight="1">
      <c r="A308" s="37"/>
      <c r="B308" s="30"/>
      <c r="C308" s="30"/>
      <c r="D308" s="30"/>
      <c r="E308" s="37"/>
      <c r="F308" s="37"/>
      <c r="G308" s="38"/>
      <c r="H308" s="37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</row>
    <row r="309" ht="18.75" customHeight="1">
      <c r="A309" s="37"/>
      <c r="B309" s="30"/>
      <c r="C309" s="30"/>
      <c r="D309" s="30"/>
      <c r="E309" s="37"/>
      <c r="F309" s="37"/>
      <c r="G309" s="38"/>
      <c r="H309" s="37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</row>
    <row r="310" ht="18.75" customHeight="1">
      <c r="A310" s="37"/>
      <c r="B310" s="30"/>
      <c r="C310" s="30"/>
      <c r="D310" s="30"/>
      <c r="E310" s="37"/>
      <c r="F310" s="37"/>
      <c r="G310" s="38"/>
      <c r="H310" s="37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</row>
    <row r="311" ht="18.75" customHeight="1">
      <c r="A311" s="37"/>
      <c r="B311" s="30"/>
      <c r="C311" s="30"/>
      <c r="D311" s="30"/>
      <c r="E311" s="37"/>
      <c r="F311" s="37"/>
      <c r="G311" s="38"/>
      <c r="H311" s="37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</row>
    <row r="312" ht="18.75" customHeight="1">
      <c r="A312" s="37"/>
      <c r="B312" s="30"/>
      <c r="C312" s="30"/>
      <c r="D312" s="30"/>
      <c r="E312" s="37"/>
      <c r="F312" s="37"/>
      <c r="G312" s="38"/>
      <c r="H312" s="37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</row>
    <row r="313" ht="18.75" customHeight="1">
      <c r="A313" s="37"/>
      <c r="B313" s="30"/>
      <c r="C313" s="30"/>
      <c r="D313" s="30"/>
      <c r="E313" s="37"/>
      <c r="F313" s="37"/>
      <c r="G313" s="38"/>
      <c r="H313" s="37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</row>
    <row r="314" ht="18.75" customHeight="1">
      <c r="A314" s="37"/>
      <c r="B314" s="30"/>
      <c r="C314" s="30"/>
      <c r="D314" s="30"/>
      <c r="E314" s="37"/>
      <c r="F314" s="37"/>
      <c r="G314" s="38"/>
      <c r="H314" s="37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</row>
    <row r="315" ht="18.75" customHeight="1">
      <c r="A315" s="37"/>
      <c r="B315" s="30"/>
      <c r="C315" s="30"/>
      <c r="D315" s="30"/>
      <c r="E315" s="37"/>
      <c r="F315" s="37"/>
      <c r="G315" s="38"/>
      <c r="H315" s="37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</row>
    <row r="316" ht="18.75" customHeight="1">
      <c r="A316" s="37"/>
      <c r="B316" s="30"/>
      <c r="C316" s="30"/>
      <c r="D316" s="30"/>
      <c r="E316" s="37"/>
      <c r="F316" s="37"/>
      <c r="G316" s="38"/>
      <c r="H316" s="37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</row>
    <row r="317" ht="18.75" customHeight="1">
      <c r="A317" s="37"/>
      <c r="B317" s="30"/>
      <c r="C317" s="30"/>
      <c r="D317" s="30"/>
      <c r="E317" s="37"/>
      <c r="F317" s="37"/>
      <c r="G317" s="38"/>
      <c r="H317" s="37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</row>
    <row r="318" ht="18.75" customHeight="1">
      <c r="A318" s="37"/>
      <c r="B318" s="30"/>
      <c r="C318" s="30"/>
      <c r="D318" s="30"/>
      <c r="E318" s="37"/>
      <c r="F318" s="37"/>
      <c r="G318" s="38"/>
      <c r="H318" s="37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</row>
    <row r="319" ht="18.75" customHeight="1">
      <c r="A319" s="37"/>
      <c r="B319" s="30"/>
      <c r="C319" s="30"/>
      <c r="D319" s="30"/>
      <c r="E319" s="37"/>
      <c r="F319" s="37"/>
      <c r="G319" s="38"/>
      <c r="H319" s="37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</row>
    <row r="320" ht="18.75" customHeight="1">
      <c r="A320" s="37"/>
      <c r="B320" s="30"/>
      <c r="C320" s="30"/>
      <c r="D320" s="30"/>
      <c r="E320" s="37"/>
      <c r="F320" s="37"/>
      <c r="G320" s="38"/>
      <c r="H320" s="37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</row>
    <row r="321" ht="18.75" customHeight="1">
      <c r="A321" s="37"/>
      <c r="B321" s="30"/>
      <c r="C321" s="30"/>
      <c r="D321" s="30"/>
      <c r="E321" s="37"/>
      <c r="F321" s="37"/>
      <c r="G321" s="38"/>
      <c r="H321" s="37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</row>
    <row r="322" ht="18.75" customHeight="1">
      <c r="A322" s="37"/>
      <c r="B322" s="30"/>
      <c r="C322" s="30"/>
      <c r="D322" s="30"/>
      <c r="E322" s="37"/>
      <c r="F322" s="37"/>
      <c r="G322" s="38"/>
      <c r="H322" s="37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</row>
    <row r="323" ht="18.75" customHeight="1">
      <c r="A323" s="37"/>
      <c r="B323" s="30"/>
      <c r="C323" s="30"/>
      <c r="D323" s="30"/>
      <c r="E323" s="37"/>
      <c r="F323" s="37"/>
      <c r="G323" s="38"/>
      <c r="H323" s="37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</row>
    <row r="324" ht="18.75" customHeight="1">
      <c r="A324" s="37"/>
      <c r="B324" s="30"/>
      <c r="C324" s="30"/>
      <c r="D324" s="30"/>
      <c r="E324" s="37"/>
      <c r="F324" s="37"/>
      <c r="G324" s="38"/>
      <c r="H324" s="37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</row>
    <row r="325" ht="18.75" customHeight="1">
      <c r="A325" s="37"/>
      <c r="B325" s="30"/>
      <c r="C325" s="30"/>
      <c r="D325" s="30"/>
      <c r="E325" s="37"/>
      <c r="F325" s="37"/>
      <c r="G325" s="38"/>
      <c r="H325" s="37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</row>
    <row r="326" ht="18.75" customHeight="1">
      <c r="A326" s="37"/>
      <c r="B326" s="30"/>
      <c r="C326" s="30"/>
      <c r="D326" s="30"/>
      <c r="E326" s="37"/>
      <c r="F326" s="37"/>
      <c r="G326" s="38"/>
      <c r="H326" s="37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</row>
    <row r="327" ht="18.75" customHeight="1">
      <c r="A327" s="37"/>
      <c r="B327" s="30"/>
      <c r="C327" s="30"/>
      <c r="D327" s="30"/>
      <c r="E327" s="37"/>
      <c r="F327" s="37"/>
      <c r="G327" s="38"/>
      <c r="H327" s="37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</row>
    <row r="328" ht="18.75" customHeight="1">
      <c r="A328" s="37"/>
      <c r="B328" s="30"/>
      <c r="C328" s="30"/>
      <c r="D328" s="30"/>
      <c r="E328" s="37"/>
      <c r="F328" s="37"/>
      <c r="G328" s="38"/>
      <c r="H328" s="37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</row>
    <row r="329" ht="18.75" customHeight="1">
      <c r="A329" s="37"/>
      <c r="B329" s="30"/>
      <c r="C329" s="30"/>
      <c r="D329" s="30"/>
      <c r="E329" s="37"/>
      <c r="F329" s="37"/>
      <c r="G329" s="38"/>
      <c r="H329" s="37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</row>
    <row r="330" ht="18.75" customHeight="1">
      <c r="A330" s="37"/>
      <c r="B330" s="30"/>
      <c r="C330" s="30"/>
      <c r="D330" s="30"/>
      <c r="E330" s="37"/>
      <c r="F330" s="37"/>
      <c r="G330" s="38"/>
      <c r="H330" s="37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</row>
    <row r="331" ht="18.75" customHeight="1">
      <c r="A331" s="37"/>
      <c r="B331" s="30"/>
      <c r="C331" s="30"/>
      <c r="D331" s="30"/>
      <c r="E331" s="37"/>
      <c r="F331" s="37"/>
      <c r="G331" s="38"/>
      <c r="H331" s="37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</row>
    <row r="332" ht="18.75" customHeight="1">
      <c r="A332" s="37"/>
      <c r="B332" s="30"/>
      <c r="C332" s="30"/>
      <c r="D332" s="30"/>
      <c r="E332" s="37"/>
      <c r="F332" s="37"/>
      <c r="G332" s="38"/>
      <c r="H332" s="37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</row>
    <row r="333" ht="18.75" customHeight="1">
      <c r="A333" s="37"/>
      <c r="B333" s="30"/>
      <c r="C333" s="30"/>
      <c r="D333" s="30"/>
      <c r="E333" s="37"/>
      <c r="F333" s="37"/>
      <c r="G333" s="38"/>
      <c r="H333" s="37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</row>
    <row r="334" ht="18.75" customHeight="1">
      <c r="A334" s="37"/>
      <c r="B334" s="30"/>
      <c r="C334" s="30"/>
      <c r="D334" s="30"/>
      <c r="E334" s="37"/>
      <c r="F334" s="37"/>
      <c r="G334" s="38"/>
      <c r="H334" s="37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</row>
    <row r="335" ht="18.75" customHeight="1">
      <c r="A335" s="37"/>
      <c r="B335" s="30"/>
      <c r="C335" s="30"/>
      <c r="D335" s="30"/>
      <c r="E335" s="37"/>
      <c r="F335" s="37"/>
      <c r="G335" s="38"/>
      <c r="H335" s="37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</row>
    <row r="336" ht="18.75" customHeight="1">
      <c r="A336" s="37"/>
      <c r="B336" s="30"/>
      <c r="C336" s="30"/>
      <c r="D336" s="30"/>
      <c r="E336" s="37"/>
      <c r="F336" s="37"/>
      <c r="G336" s="38"/>
      <c r="H336" s="37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</row>
    <row r="337" ht="18.75" customHeight="1">
      <c r="A337" s="37"/>
      <c r="B337" s="30"/>
      <c r="C337" s="30"/>
      <c r="D337" s="30"/>
      <c r="E337" s="37"/>
      <c r="F337" s="37"/>
      <c r="G337" s="38"/>
      <c r="H337" s="37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</row>
    <row r="338" ht="18.75" customHeight="1">
      <c r="A338" s="37"/>
      <c r="B338" s="30"/>
      <c r="C338" s="30"/>
      <c r="D338" s="30"/>
      <c r="E338" s="37"/>
      <c r="F338" s="37"/>
      <c r="G338" s="38"/>
      <c r="H338" s="37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</row>
    <row r="339" ht="18.75" customHeight="1">
      <c r="A339" s="37"/>
      <c r="B339" s="30"/>
      <c r="C339" s="30"/>
      <c r="D339" s="30"/>
      <c r="E339" s="37"/>
      <c r="F339" s="37"/>
      <c r="G339" s="38"/>
      <c r="H339" s="37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</row>
    <row r="340" ht="18.75" customHeight="1">
      <c r="A340" s="37"/>
      <c r="B340" s="30"/>
      <c r="C340" s="30"/>
      <c r="D340" s="30"/>
      <c r="E340" s="37"/>
      <c r="F340" s="37"/>
      <c r="G340" s="38"/>
      <c r="H340" s="37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</row>
    <row r="341" ht="18.75" customHeight="1">
      <c r="A341" s="37"/>
      <c r="B341" s="30"/>
      <c r="C341" s="30"/>
      <c r="D341" s="30"/>
      <c r="E341" s="37"/>
      <c r="F341" s="37"/>
      <c r="G341" s="38"/>
      <c r="H341" s="37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</row>
    <row r="342" ht="18.75" customHeight="1">
      <c r="A342" s="37"/>
      <c r="B342" s="30"/>
      <c r="C342" s="30"/>
      <c r="D342" s="30"/>
      <c r="E342" s="37"/>
      <c r="F342" s="37"/>
      <c r="G342" s="38"/>
      <c r="H342" s="37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</row>
    <row r="343" ht="18.75" customHeight="1">
      <c r="A343" s="37"/>
      <c r="B343" s="30"/>
      <c r="C343" s="30"/>
      <c r="D343" s="30"/>
      <c r="E343" s="37"/>
      <c r="F343" s="37"/>
      <c r="G343" s="38"/>
      <c r="H343" s="37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</row>
    <row r="344" ht="18.75" customHeight="1">
      <c r="A344" s="37"/>
      <c r="B344" s="30"/>
      <c r="C344" s="30"/>
      <c r="D344" s="30"/>
      <c r="E344" s="37"/>
      <c r="F344" s="37"/>
      <c r="G344" s="38"/>
      <c r="H344" s="37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</row>
    <row r="345" ht="18.75" customHeight="1">
      <c r="A345" s="37"/>
      <c r="B345" s="30"/>
      <c r="C345" s="30"/>
      <c r="D345" s="30"/>
      <c r="E345" s="37"/>
      <c r="F345" s="37"/>
      <c r="G345" s="38"/>
      <c r="H345" s="37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</row>
    <row r="346" ht="18.75" customHeight="1">
      <c r="A346" s="37"/>
      <c r="B346" s="30"/>
      <c r="C346" s="30"/>
      <c r="D346" s="30"/>
      <c r="E346" s="37"/>
      <c r="F346" s="37"/>
      <c r="G346" s="38"/>
      <c r="H346" s="37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</row>
    <row r="347" ht="18.75" customHeight="1">
      <c r="A347" s="37"/>
      <c r="B347" s="30"/>
      <c r="C347" s="30"/>
      <c r="D347" s="30"/>
      <c r="E347" s="37"/>
      <c r="F347" s="37"/>
      <c r="G347" s="38"/>
      <c r="H347" s="37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</row>
    <row r="348" ht="18.75" customHeight="1">
      <c r="A348" s="37"/>
      <c r="B348" s="30"/>
      <c r="C348" s="30"/>
      <c r="D348" s="30"/>
      <c r="E348" s="37"/>
      <c r="F348" s="37"/>
      <c r="G348" s="38"/>
      <c r="H348" s="37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</row>
    <row r="349" ht="18.75" customHeight="1">
      <c r="A349" s="37"/>
      <c r="B349" s="30"/>
      <c r="C349" s="30"/>
      <c r="D349" s="30"/>
      <c r="E349" s="37"/>
      <c r="F349" s="37"/>
      <c r="G349" s="38"/>
      <c r="H349" s="37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</row>
    <row r="350" ht="18.75" customHeight="1">
      <c r="A350" s="37"/>
      <c r="B350" s="30"/>
      <c r="C350" s="30"/>
      <c r="D350" s="30"/>
      <c r="E350" s="37"/>
      <c r="F350" s="37"/>
      <c r="G350" s="38"/>
      <c r="H350" s="37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</row>
    <row r="351" ht="18.75" customHeight="1">
      <c r="A351" s="37"/>
      <c r="B351" s="30"/>
      <c r="C351" s="30"/>
      <c r="D351" s="30"/>
      <c r="E351" s="37"/>
      <c r="F351" s="37"/>
      <c r="G351" s="38"/>
      <c r="H351" s="37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</row>
    <row r="352" ht="18.75" customHeight="1">
      <c r="A352" s="37"/>
      <c r="B352" s="30"/>
      <c r="C352" s="30"/>
      <c r="D352" s="30"/>
      <c r="E352" s="37"/>
      <c r="F352" s="37"/>
      <c r="G352" s="38"/>
      <c r="H352" s="37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</row>
    <row r="353" ht="18.75" customHeight="1">
      <c r="A353" s="37"/>
      <c r="B353" s="30"/>
      <c r="C353" s="30"/>
      <c r="D353" s="30"/>
      <c r="E353" s="37"/>
      <c r="F353" s="37"/>
      <c r="G353" s="38"/>
      <c r="H353" s="37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</row>
    <row r="354" ht="18.75" customHeight="1">
      <c r="A354" s="37"/>
      <c r="B354" s="30"/>
      <c r="C354" s="30"/>
      <c r="D354" s="30"/>
      <c r="E354" s="37"/>
      <c r="F354" s="37"/>
      <c r="G354" s="38"/>
      <c r="H354" s="37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</row>
    <row r="355" ht="18.75" customHeight="1">
      <c r="A355" s="37"/>
      <c r="B355" s="30"/>
      <c r="C355" s="30"/>
      <c r="D355" s="30"/>
      <c r="E355" s="37"/>
      <c r="F355" s="37"/>
      <c r="G355" s="38"/>
      <c r="H355" s="37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</row>
    <row r="356" ht="18.75" customHeight="1">
      <c r="A356" s="37"/>
      <c r="B356" s="30"/>
      <c r="C356" s="30"/>
      <c r="D356" s="30"/>
      <c r="E356" s="37"/>
      <c r="F356" s="37"/>
      <c r="G356" s="38"/>
      <c r="H356" s="37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</row>
    <row r="357" ht="18.75" customHeight="1">
      <c r="A357" s="37"/>
      <c r="B357" s="30"/>
      <c r="C357" s="30"/>
      <c r="D357" s="30"/>
      <c r="E357" s="37"/>
      <c r="F357" s="37"/>
      <c r="G357" s="38"/>
      <c r="H357" s="37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</row>
    <row r="358" ht="18.75" customHeight="1">
      <c r="A358" s="37"/>
      <c r="B358" s="30"/>
      <c r="C358" s="30"/>
      <c r="D358" s="30"/>
      <c r="E358" s="37"/>
      <c r="F358" s="37"/>
      <c r="G358" s="38"/>
      <c r="H358" s="37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</row>
    <row r="359" ht="18.75" customHeight="1">
      <c r="A359" s="37"/>
      <c r="B359" s="30"/>
      <c r="C359" s="30"/>
      <c r="D359" s="30"/>
      <c r="E359" s="37"/>
      <c r="F359" s="37"/>
      <c r="G359" s="38"/>
      <c r="H359" s="37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</row>
    <row r="360" ht="18.75" customHeight="1">
      <c r="A360" s="37"/>
      <c r="B360" s="30"/>
      <c r="C360" s="30"/>
      <c r="D360" s="30"/>
      <c r="E360" s="37"/>
      <c r="F360" s="37"/>
      <c r="G360" s="38"/>
      <c r="H360" s="37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</row>
    <row r="361" ht="18.75" customHeight="1">
      <c r="A361" s="37"/>
      <c r="B361" s="30"/>
      <c r="C361" s="30"/>
      <c r="D361" s="30"/>
      <c r="E361" s="37"/>
      <c r="F361" s="37"/>
      <c r="G361" s="38"/>
      <c r="H361" s="37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</row>
    <row r="362" ht="18.75" customHeight="1">
      <c r="A362" s="37"/>
      <c r="B362" s="30"/>
      <c r="C362" s="30"/>
      <c r="D362" s="30"/>
      <c r="E362" s="37"/>
      <c r="F362" s="37"/>
      <c r="G362" s="38"/>
      <c r="H362" s="37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</row>
    <row r="363" ht="18.75" customHeight="1">
      <c r="A363" s="37"/>
      <c r="B363" s="30"/>
      <c r="C363" s="30"/>
      <c r="D363" s="30"/>
      <c r="E363" s="37"/>
      <c r="F363" s="37"/>
      <c r="G363" s="38"/>
      <c r="H363" s="37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</row>
    <row r="364" ht="18.75" customHeight="1">
      <c r="A364" s="37"/>
      <c r="B364" s="30"/>
      <c r="C364" s="30"/>
      <c r="D364" s="30"/>
      <c r="E364" s="37"/>
      <c r="F364" s="37"/>
      <c r="G364" s="38"/>
      <c r="H364" s="37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</row>
    <row r="365" ht="18.75" customHeight="1">
      <c r="A365" s="37"/>
      <c r="B365" s="30"/>
      <c r="C365" s="30"/>
      <c r="D365" s="30"/>
      <c r="E365" s="37"/>
      <c r="F365" s="37"/>
      <c r="G365" s="38"/>
      <c r="H365" s="37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</row>
    <row r="366" ht="18.75" customHeight="1">
      <c r="A366" s="37"/>
      <c r="B366" s="30"/>
      <c r="C366" s="30"/>
      <c r="D366" s="30"/>
      <c r="E366" s="37"/>
      <c r="F366" s="37"/>
      <c r="G366" s="38"/>
      <c r="H366" s="37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</row>
    <row r="367" ht="18.75" customHeight="1">
      <c r="A367" s="37"/>
      <c r="B367" s="30"/>
      <c r="C367" s="30"/>
      <c r="D367" s="30"/>
      <c r="E367" s="37"/>
      <c r="F367" s="37"/>
      <c r="G367" s="38"/>
      <c r="H367" s="37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</row>
    <row r="368" ht="18.75" customHeight="1">
      <c r="A368" s="37"/>
      <c r="B368" s="30"/>
      <c r="C368" s="30"/>
      <c r="D368" s="30"/>
      <c r="E368" s="37"/>
      <c r="F368" s="37"/>
      <c r="G368" s="38"/>
      <c r="H368" s="37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</row>
    <row r="369" ht="18.75" customHeight="1">
      <c r="A369" s="37"/>
      <c r="B369" s="30"/>
      <c r="C369" s="30"/>
      <c r="D369" s="30"/>
      <c r="E369" s="37"/>
      <c r="F369" s="37"/>
      <c r="G369" s="38"/>
      <c r="H369" s="37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</row>
    <row r="370" ht="18.75" customHeight="1">
      <c r="A370" s="37"/>
      <c r="B370" s="30"/>
      <c r="C370" s="30"/>
      <c r="D370" s="30"/>
      <c r="E370" s="37"/>
      <c r="F370" s="37"/>
      <c r="G370" s="38"/>
      <c r="H370" s="37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</row>
    <row r="371" ht="18.75" customHeight="1">
      <c r="A371" s="37"/>
      <c r="B371" s="30"/>
      <c r="C371" s="30"/>
      <c r="D371" s="30"/>
      <c r="E371" s="37"/>
      <c r="F371" s="37"/>
      <c r="G371" s="38"/>
      <c r="H371" s="37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</row>
    <row r="372" ht="18.75" customHeight="1">
      <c r="A372" s="37"/>
      <c r="B372" s="30"/>
      <c r="C372" s="30"/>
      <c r="D372" s="30"/>
      <c r="E372" s="37"/>
      <c r="F372" s="37"/>
      <c r="G372" s="38"/>
      <c r="H372" s="37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</row>
    <row r="373" ht="18.75" customHeight="1">
      <c r="A373" s="37"/>
      <c r="B373" s="30"/>
      <c r="C373" s="30"/>
      <c r="D373" s="30"/>
      <c r="E373" s="37"/>
      <c r="F373" s="37"/>
      <c r="G373" s="38"/>
      <c r="H373" s="37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</row>
    <row r="374" ht="18.75" customHeight="1">
      <c r="A374" s="37"/>
      <c r="B374" s="30"/>
      <c r="C374" s="30"/>
      <c r="D374" s="30"/>
      <c r="E374" s="37"/>
      <c r="F374" s="37"/>
      <c r="G374" s="38"/>
      <c r="H374" s="37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</row>
    <row r="375" ht="18.75" customHeight="1">
      <c r="A375" s="37"/>
      <c r="B375" s="30"/>
      <c r="C375" s="30"/>
      <c r="D375" s="30"/>
      <c r="E375" s="37"/>
      <c r="F375" s="37"/>
      <c r="G375" s="38"/>
      <c r="H375" s="37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</row>
    <row r="376" ht="18.75" customHeight="1">
      <c r="A376" s="37"/>
      <c r="B376" s="30"/>
      <c r="C376" s="30"/>
      <c r="D376" s="30"/>
      <c r="E376" s="37"/>
      <c r="F376" s="37"/>
      <c r="G376" s="38"/>
      <c r="H376" s="37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</row>
    <row r="377" ht="18.75" customHeight="1">
      <c r="A377" s="37"/>
      <c r="B377" s="30"/>
      <c r="C377" s="30"/>
      <c r="D377" s="30"/>
      <c r="E377" s="37"/>
      <c r="F377" s="37"/>
      <c r="G377" s="38"/>
      <c r="H377" s="37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</row>
    <row r="378" ht="18.75" customHeight="1">
      <c r="A378" s="37"/>
      <c r="B378" s="30"/>
      <c r="C378" s="30"/>
      <c r="D378" s="30"/>
      <c r="E378" s="37"/>
      <c r="F378" s="37"/>
      <c r="G378" s="38"/>
      <c r="H378" s="37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</row>
    <row r="379" ht="18.75" customHeight="1">
      <c r="A379" s="37"/>
      <c r="B379" s="30"/>
      <c r="C379" s="30"/>
      <c r="D379" s="30"/>
      <c r="E379" s="37"/>
      <c r="F379" s="37"/>
      <c r="G379" s="38"/>
      <c r="H379" s="37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</row>
    <row r="380" ht="18.75" customHeight="1">
      <c r="A380" s="37"/>
      <c r="B380" s="30"/>
      <c r="C380" s="30"/>
      <c r="D380" s="30"/>
      <c r="E380" s="37"/>
      <c r="F380" s="37"/>
      <c r="G380" s="38"/>
      <c r="H380" s="37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</row>
    <row r="381" ht="18.75" customHeight="1">
      <c r="A381" s="37"/>
      <c r="B381" s="30"/>
      <c r="C381" s="30"/>
      <c r="D381" s="30"/>
      <c r="E381" s="37"/>
      <c r="F381" s="37"/>
      <c r="G381" s="38"/>
      <c r="H381" s="37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</row>
    <row r="382" ht="18.75" customHeight="1">
      <c r="A382" s="37"/>
      <c r="B382" s="30"/>
      <c r="C382" s="30"/>
      <c r="D382" s="30"/>
      <c r="E382" s="37"/>
      <c r="F382" s="37"/>
      <c r="G382" s="38"/>
      <c r="H382" s="37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</row>
    <row r="383" ht="18.75" customHeight="1">
      <c r="A383" s="37"/>
      <c r="B383" s="30"/>
      <c r="C383" s="30"/>
      <c r="D383" s="30"/>
      <c r="E383" s="37"/>
      <c r="F383" s="37"/>
      <c r="G383" s="38"/>
      <c r="H383" s="37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</row>
    <row r="384" ht="18.75" customHeight="1">
      <c r="A384" s="37"/>
      <c r="B384" s="30"/>
      <c r="C384" s="30"/>
      <c r="D384" s="30"/>
      <c r="E384" s="37"/>
      <c r="F384" s="37"/>
      <c r="G384" s="38"/>
      <c r="H384" s="37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</row>
    <row r="385" ht="18.75" customHeight="1">
      <c r="A385" s="37"/>
      <c r="B385" s="30"/>
      <c r="C385" s="30"/>
      <c r="D385" s="30"/>
      <c r="E385" s="37"/>
      <c r="F385" s="37"/>
      <c r="G385" s="38"/>
      <c r="H385" s="37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</row>
    <row r="386" ht="18.75" customHeight="1">
      <c r="A386" s="37"/>
      <c r="B386" s="30"/>
      <c r="C386" s="30"/>
      <c r="D386" s="30"/>
      <c r="E386" s="37"/>
      <c r="F386" s="37"/>
      <c r="G386" s="38"/>
      <c r="H386" s="37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</row>
    <row r="387" ht="18.75" customHeight="1">
      <c r="A387" s="37"/>
      <c r="B387" s="30"/>
      <c r="C387" s="30"/>
      <c r="D387" s="30"/>
      <c r="E387" s="37"/>
      <c r="F387" s="37"/>
      <c r="G387" s="38"/>
      <c r="H387" s="37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</row>
    <row r="388" ht="18.75" customHeight="1">
      <c r="A388" s="37"/>
      <c r="B388" s="30"/>
      <c r="C388" s="30"/>
      <c r="D388" s="30"/>
      <c r="E388" s="37"/>
      <c r="F388" s="37"/>
      <c r="G388" s="38"/>
      <c r="H388" s="37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</row>
    <row r="389" ht="18.75" customHeight="1">
      <c r="A389" s="37"/>
      <c r="B389" s="30"/>
      <c r="C389" s="30"/>
      <c r="D389" s="30"/>
      <c r="E389" s="37"/>
      <c r="F389" s="37"/>
      <c r="G389" s="38"/>
      <c r="H389" s="37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</row>
    <row r="390" ht="18.75" customHeight="1">
      <c r="A390" s="37"/>
      <c r="B390" s="30"/>
      <c r="C390" s="30"/>
      <c r="D390" s="30"/>
      <c r="E390" s="37"/>
      <c r="F390" s="37"/>
      <c r="G390" s="38"/>
      <c r="H390" s="37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</row>
    <row r="391" ht="18.75" customHeight="1">
      <c r="A391" s="37"/>
      <c r="B391" s="30"/>
      <c r="C391" s="30"/>
      <c r="D391" s="30"/>
      <c r="E391" s="37"/>
      <c r="F391" s="37"/>
      <c r="G391" s="38"/>
      <c r="H391" s="37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</row>
    <row r="392" ht="18.75" customHeight="1">
      <c r="A392" s="37"/>
      <c r="B392" s="30"/>
      <c r="C392" s="30"/>
      <c r="D392" s="30"/>
      <c r="E392" s="37"/>
      <c r="F392" s="37"/>
      <c r="G392" s="38"/>
      <c r="H392" s="37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</row>
    <row r="393" ht="18.75" customHeight="1">
      <c r="A393" s="37"/>
      <c r="B393" s="30"/>
      <c r="C393" s="30"/>
      <c r="D393" s="30"/>
      <c r="E393" s="37"/>
      <c r="F393" s="37"/>
      <c r="G393" s="38"/>
      <c r="H393" s="37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</row>
    <row r="394" ht="18.75" customHeight="1">
      <c r="A394" s="37"/>
      <c r="B394" s="30"/>
      <c r="C394" s="30"/>
      <c r="D394" s="30"/>
      <c r="E394" s="37"/>
      <c r="F394" s="37"/>
      <c r="G394" s="38"/>
      <c r="H394" s="37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</row>
    <row r="395" ht="18.75" customHeight="1">
      <c r="A395" s="37"/>
      <c r="B395" s="30"/>
      <c r="C395" s="30"/>
      <c r="D395" s="30"/>
      <c r="E395" s="37"/>
      <c r="F395" s="37"/>
      <c r="G395" s="38"/>
      <c r="H395" s="37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</row>
    <row r="396" ht="18.75" customHeight="1">
      <c r="A396" s="37"/>
      <c r="B396" s="30"/>
      <c r="C396" s="30"/>
      <c r="D396" s="30"/>
      <c r="E396" s="37"/>
      <c r="F396" s="37"/>
      <c r="G396" s="38"/>
      <c r="H396" s="37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</row>
    <row r="397" ht="18.75" customHeight="1">
      <c r="A397" s="37"/>
      <c r="B397" s="30"/>
      <c r="C397" s="30"/>
      <c r="D397" s="30"/>
      <c r="E397" s="37"/>
      <c r="F397" s="37"/>
      <c r="G397" s="38"/>
      <c r="H397" s="37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</row>
    <row r="398" ht="18.75" customHeight="1">
      <c r="A398" s="37"/>
      <c r="B398" s="30"/>
      <c r="C398" s="30"/>
      <c r="D398" s="30"/>
      <c r="E398" s="37"/>
      <c r="F398" s="37"/>
      <c r="G398" s="38"/>
      <c r="H398" s="37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</row>
    <row r="399" ht="18.75" customHeight="1">
      <c r="A399" s="37"/>
      <c r="B399" s="30"/>
      <c r="C399" s="30"/>
      <c r="D399" s="30"/>
      <c r="E399" s="37"/>
      <c r="F399" s="37"/>
      <c r="G399" s="38"/>
      <c r="H399" s="37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</row>
    <row r="400" ht="18.75" customHeight="1">
      <c r="A400" s="37"/>
      <c r="B400" s="30"/>
      <c r="C400" s="30"/>
      <c r="D400" s="30"/>
      <c r="E400" s="37"/>
      <c r="F400" s="37"/>
      <c r="G400" s="38"/>
      <c r="H400" s="37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</row>
    <row r="401" ht="18.75" customHeight="1">
      <c r="A401" s="37"/>
      <c r="B401" s="30"/>
      <c r="C401" s="30"/>
      <c r="D401" s="30"/>
      <c r="E401" s="37"/>
      <c r="F401" s="37"/>
      <c r="G401" s="38"/>
      <c r="H401" s="37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</row>
    <row r="402" ht="18.75" customHeight="1">
      <c r="A402" s="37"/>
      <c r="B402" s="30"/>
      <c r="C402" s="30"/>
      <c r="D402" s="30"/>
      <c r="E402" s="37"/>
      <c r="F402" s="37"/>
      <c r="G402" s="38"/>
      <c r="H402" s="37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</row>
    <row r="403" ht="18.75" customHeight="1">
      <c r="A403" s="37"/>
      <c r="B403" s="30"/>
      <c r="C403" s="30"/>
      <c r="D403" s="30"/>
      <c r="E403" s="37"/>
      <c r="F403" s="37"/>
      <c r="G403" s="38"/>
      <c r="H403" s="37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</row>
    <row r="404" ht="18.75" customHeight="1">
      <c r="A404" s="37"/>
      <c r="B404" s="30"/>
      <c r="C404" s="30"/>
      <c r="D404" s="30"/>
      <c r="E404" s="37"/>
      <c r="F404" s="37"/>
      <c r="G404" s="38"/>
      <c r="H404" s="37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</row>
    <row r="405" ht="18.75" customHeight="1">
      <c r="A405" s="37"/>
      <c r="B405" s="30"/>
      <c r="C405" s="30"/>
      <c r="D405" s="30"/>
      <c r="E405" s="37"/>
      <c r="F405" s="37"/>
      <c r="G405" s="38"/>
      <c r="H405" s="37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</row>
    <row r="406" ht="18.75" customHeight="1">
      <c r="A406" s="37"/>
      <c r="B406" s="30"/>
      <c r="C406" s="30"/>
      <c r="D406" s="30"/>
      <c r="E406" s="37"/>
      <c r="F406" s="37"/>
      <c r="G406" s="38"/>
      <c r="H406" s="37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</row>
    <row r="407" ht="18.75" customHeight="1">
      <c r="A407" s="37"/>
      <c r="B407" s="30"/>
      <c r="C407" s="30"/>
      <c r="D407" s="30"/>
      <c r="E407" s="37"/>
      <c r="F407" s="37"/>
      <c r="G407" s="38"/>
      <c r="H407" s="37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</row>
    <row r="408" ht="18.75" customHeight="1">
      <c r="A408" s="37"/>
      <c r="B408" s="30"/>
      <c r="C408" s="30"/>
      <c r="D408" s="30"/>
      <c r="E408" s="37"/>
      <c r="F408" s="37"/>
      <c r="G408" s="38"/>
      <c r="H408" s="37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</row>
    <row r="409" ht="18.75" customHeight="1">
      <c r="A409" s="37"/>
      <c r="B409" s="30"/>
      <c r="C409" s="30"/>
      <c r="D409" s="30"/>
      <c r="E409" s="37"/>
      <c r="F409" s="37"/>
      <c r="G409" s="38"/>
      <c r="H409" s="37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</row>
    <row r="410" ht="18.75" customHeight="1">
      <c r="A410" s="37"/>
      <c r="B410" s="30"/>
      <c r="C410" s="30"/>
      <c r="D410" s="30"/>
      <c r="E410" s="37"/>
      <c r="F410" s="37"/>
      <c r="G410" s="38"/>
      <c r="H410" s="37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</row>
    <row r="411" ht="18.75" customHeight="1">
      <c r="A411" s="37"/>
      <c r="B411" s="30"/>
      <c r="C411" s="30"/>
      <c r="D411" s="30"/>
      <c r="E411" s="37"/>
      <c r="F411" s="37"/>
      <c r="G411" s="38"/>
      <c r="H411" s="37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</row>
    <row r="412" ht="18.75" customHeight="1">
      <c r="A412" s="37"/>
      <c r="B412" s="30"/>
      <c r="C412" s="30"/>
      <c r="D412" s="30"/>
      <c r="E412" s="37"/>
      <c r="F412" s="37"/>
      <c r="G412" s="38"/>
      <c r="H412" s="37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</row>
    <row r="413" ht="18.75" customHeight="1">
      <c r="A413" s="37"/>
      <c r="B413" s="30"/>
      <c r="C413" s="30"/>
      <c r="D413" s="30"/>
      <c r="E413" s="37"/>
      <c r="F413" s="37"/>
      <c r="G413" s="38"/>
      <c r="H413" s="37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</row>
    <row r="414" ht="18.75" customHeight="1">
      <c r="A414" s="37"/>
      <c r="B414" s="30"/>
      <c r="C414" s="30"/>
      <c r="D414" s="30"/>
      <c r="E414" s="37"/>
      <c r="F414" s="37"/>
      <c r="G414" s="38"/>
      <c r="H414" s="37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</row>
    <row r="415" ht="18.75" customHeight="1">
      <c r="A415" s="37"/>
      <c r="B415" s="30"/>
      <c r="C415" s="30"/>
      <c r="D415" s="30"/>
      <c r="E415" s="37"/>
      <c r="F415" s="37"/>
      <c r="G415" s="38"/>
      <c r="H415" s="37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</row>
    <row r="416" ht="18.75" customHeight="1">
      <c r="A416" s="37"/>
      <c r="B416" s="30"/>
      <c r="C416" s="30"/>
      <c r="D416" s="30"/>
      <c r="E416" s="37"/>
      <c r="F416" s="37"/>
      <c r="G416" s="38"/>
      <c r="H416" s="37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</row>
    <row r="417" ht="18.75" customHeight="1">
      <c r="A417" s="37"/>
      <c r="B417" s="30"/>
      <c r="C417" s="30"/>
      <c r="D417" s="30"/>
      <c r="E417" s="37"/>
      <c r="F417" s="37"/>
      <c r="G417" s="38"/>
      <c r="H417" s="37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</row>
    <row r="418" ht="18.75" customHeight="1">
      <c r="A418" s="37"/>
      <c r="B418" s="30"/>
      <c r="C418" s="30"/>
      <c r="D418" s="30"/>
      <c r="E418" s="37"/>
      <c r="F418" s="37"/>
      <c r="G418" s="38"/>
      <c r="H418" s="37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</row>
    <row r="419" ht="18.75" customHeight="1">
      <c r="A419" s="37"/>
      <c r="B419" s="30"/>
      <c r="C419" s="30"/>
      <c r="D419" s="30"/>
      <c r="E419" s="37"/>
      <c r="F419" s="37"/>
      <c r="G419" s="38"/>
      <c r="H419" s="37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</row>
    <row r="420" ht="18.75" customHeight="1">
      <c r="A420" s="37"/>
      <c r="B420" s="30"/>
      <c r="C420" s="30"/>
      <c r="D420" s="30"/>
      <c r="E420" s="37"/>
      <c r="F420" s="37"/>
      <c r="G420" s="38"/>
      <c r="H420" s="37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</row>
    <row r="421" ht="18.75" customHeight="1">
      <c r="A421" s="37"/>
      <c r="B421" s="30"/>
      <c r="C421" s="30"/>
      <c r="D421" s="30"/>
      <c r="E421" s="37"/>
      <c r="F421" s="37"/>
      <c r="G421" s="38"/>
      <c r="H421" s="37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</row>
    <row r="422" ht="18.75" customHeight="1">
      <c r="A422" s="37"/>
      <c r="B422" s="30"/>
      <c r="C422" s="30"/>
      <c r="D422" s="30"/>
      <c r="E422" s="37"/>
      <c r="F422" s="37"/>
      <c r="G422" s="38"/>
      <c r="H422" s="37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</row>
    <row r="423" ht="18.75" customHeight="1">
      <c r="A423" s="37"/>
      <c r="B423" s="30"/>
      <c r="C423" s="30"/>
      <c r="D423" s="30"/>
      <c r="E423" s="37"/>
      <c r="F423" s="37"/>
      <c r="G423" s="38"/>
      <c r="H423" s="37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</row>
    <row r="424" ht="18.75" customHeight="1">
      <c r="A424" s="37"/>
      <c r="B424" s="30"/>
      <c r="C424" s="30"/>
      <c r="D424" s="30"/>
      <c r="E424" s="37"/>
      <c r="F424" s="37"/>
      <c r="G424" s="38"/>
      <c r="H424" s="37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</row>
    <row r="425" ht="18.75" customHeight="1">
      <c r="A425" s="37"/>
      <c r="B425" s="30"/>
      <c r="C425" s="30"/>
      <c r="D425" s="30"/>
      <c r="E425" s="37"/>
      <c r="F425" s="37"/>
      <c r="G425" s="38"/>
      <c r="H425" s="37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</row>
    <row r="426" ht="18.75" customHeight="1">
      <c r="A426" s="37"/>
      <c r="B426" s="30"/>
      <c r="C426" s="30"/>
      <c r="D426" s="30"/>
      <c r="E426" s="37"/>
      <c r="F426" s="37"/>
      <c r="G426" s="38"/>
      <c r="H426" s="37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</row>
    <row r="427" ht="18.75" customHeight="1">
      <c r="A427" s="37"/>
      <c r="B427" s="30"/>
      <c r="C427" s="30"/>
      <c r="D427" s="30"/>
      <c r="E427" s="37"/>
      <c r="F427" s="37"/>
      <c r="G427" s="38"/>
      <c r="H427" s="37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</row>
    <row r="428" ht="18.75" customHeight="1">
      <c r="A428" s="37"/>
      <c r="B428" s="30"/>
      <c r="C428" s="30"/>
      <c r="D428" s="30"/>
      <c r="E428" s="37"/>
      <c r="F428" s="37"/>
      <c r="G428" s="38"/>
      <c r="H428" s="37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</row>
    <row r="429" ht="18.75" customHeight="1">
      <c r="A429" s="37"/>
      <c r="B429" s="30"/>
      <c r="C429" s="30"/>
      <c r="D429" s="30"/>
      <c r="E429" s="37"/>
      <c r="F429" s="37"/>
      <c r="G429" s="38"/>
      <c r="H429" s="37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</row>
    <row r="430" ht="18.75" customHeight="1">
      <c r="A430" s="37"/>
      <c r="B430" s="30"/>
      <c r="C430" s="30"/>
      <c r="D430" s="30"/>
      <c r="E430" s="37"/>
      <c r="F430" s="37"/>
      <c r="G430" s="38"/>
      <c r="H430" s="37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</row>
    <row r="431" ht="18.75" customHeight="1">
      <c r="A431" s="37"/>
      <c r="B431" s="30"/>
      <c r="C431" s="30"/>
      <c r="D431" s="30"/>
      <c r="E431" s="37"/>
      <c r="F431" s="37"/>
      <c r="G431" s="38"/>
      <c r="H431" s="37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</row>
    <row r="432" ht="18.75" customHeight="1">
      <c r="A432" s="37"/>
      <c r="B432" s="30"/>
      <c r="C432" s="30"/>
      <c r="D432" s="30"/>
      <c r="E432" s="37"/>
      <c r="F432" s="37"/>
      <c r="G432" s="38"/>
      <c r="H432" s="37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</row>
    <row r="433" ht="18.75" customHeight="1">
      <c r="A433" s="37"/>
      <c r="B433" s="30"/>
      <c r="C433" s="30"/>
      <c r="D433" s="30"/>
      <c r="E433" s="37"/>
      <c r="F433" s="37"/>
      <c r="G433" s="38"/>
      <c r="H433" s="37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</row>
    <row r="434" ht="18.75" customHeight="1">
      <c r="A434" s="37"/>
      <c r="B434" s="30"/>
      <c r="C434" s="30"/>
      <c r="D434" s="30"/>
      <c r="E434" s="37"/>
      <c r="F434" s="37"/>
      <c r="G434" s="38"/>
      <c r="H434" s="37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</row>
    <row r="435" ht="18.75" customHeight="1">
      <c r="A435" s="37"/>
      <c r="B435" s="30"/>
      <c r="C435" s="30"/>
      <c r="D435" s="30"/>
      <c r="E435" s="37"/>
      <c r="F435" s="37"/>
      <c r="G435" s="38"/>
      <c r="H435" s="37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</row>
    <row r="436" ht="18.75" customHeight="1">
      <c r="A436" s="37"/>
      <c r="B436" s="30"/>
      <c r="C436" s="30"/>
      <c r="D436" s="30"/>
      <c r="E436" s="37"/>
      <c r="F436" s="37"/>
      <c r="G436" s="38"/>
      <c r="H436" s="37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</row>
    <row r="437" ht="18.75" customHeight="1">
      <c r="A437" s="37"/>
      <c r="B437" s="30"/>
      <c r="C437" s="30"/>
      <c r="D437" s="30"/>
      <c r="E437" s="37"/>
      <c r="F437" s="37"/>
      <c r="G437" s="38"/>
      <c r="H437" s="37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</row>
    <row r="438" ht="18.75" customHeight="1">
      <c r="A438" s="37"/>
      <c r="B438" s="30"/>
      <c r="C438" s="30"/>
      <c r="D438" s="30"/>
      <c r="E438" s="37"/>
      <c r="F438" s="37"/>
      <c r="G438" s="38"/>
      <c r="H438" s="37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</row>
    <row r="439" ht="18.75" customHeight="1">
      <c r="A439" s="37"/>
      <c r="B439" s="30"/>
      <c r="C439" s="30"/>
      <c r="D439" s="30"/>
      <c r="E439" s="37"/>
      <c r="F439" s="37"/>
      <c r="G439" s="38"/>
      <c r="H439" s="37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</row>
    <row r="440" ht="18.75" customHeight="1">
      <c r="A440" s="37"/>
      <c r="B440" s="30"/>
      <c r="C440" s="30"/>
      <c r="D440" s="30"/>
      <c r="E440" s="37"/>
      <c r="F440" s="37"/>
      <c r="G440" s="38"/>
      <c r="H440" s="37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</row>
    <row r="441" ht="18.75" customHeight="1">
      <c r="A441" s="37"/>
      <c r="B441" s="30"/>
      <c r="C441" s="30"/>
      <c r="D441" s="30"/>
      <c r="E441" s="37"/>
      <c r="F441" s="37"/>
      <c r="G441" s="38"/>
      <c r="H441" s="37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</row>
    <row r="442" ht="18.75" customHeight="1">
      <c r="A442" s="37"/>
      <c r="B442" s="30"/>
      <c r="C442" s="30"/>
      <c r="D442" s="30"/>
      <c r="E442" s="37"/>
      <c r="F442" s="37"/>
      <c r="G442" s="38"/>
      <c r="H442" s="37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</row>
    <row r="443" ht="18.75" customHeight="1">
      <c r="A443" s="37"/>
      <c r="B443" s="30"/>
      <c r="C443" s="30"/>
      <c r="D443" s="30"/>
      <c r="E443" s="37"/>
      <c r="F443" s="37"/>
      <c r="G443" s="38"/>
      <c r="H443" s="37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</row>
    <row r="444" ht="18.75" customHeight="1">
      <c r="A444" s="37"/>
      <c r="B444" s="30"/>
      <c r="C444" s="30"/>
      <c r="D444" s="30"/>
      <c r="E444" s="37"/>
      <c r="F444" s="37"/>
      <c r="G444" s="38"/>
      <c r="H444" s="37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</row>
    <row r="445" ht="18.75" customHeight="1">
      <c r="A445" s="37"/>
      <c r="B445" s="30"/>
      <c r="C445" s="30"/>
      <c r="D445" s="30"/>
      <c r="E445" s="37"/>
      <c r="F445" s="37"/>
      <c r="G445" s="38"/>
      <c r="H445" s="37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</row>
    <row r="446" ht="18.75" customHeight="1">
      <c r="A446" s="37"/>
      <c r="B446" s="30"/>
      <c r="C446" s="30"/>
      <c r="D446" s="30"/>
      <c r="E446" s="37"/>
      <c r="F446" s="37"/>
      <c r="G446" s="38"/>
      <c r="H446" s="37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</row>
    <row r="447" ht="18.75" customHeight="1">
      <c r="A447" s="37"/>
      <c r="B447" s="30"/>
      <c r="C447" s="30"/>
      <c r="D447" s="30"/>
      <c r="E447" s="37"/>
      <c r="F447" s="37"/>
      <c r="G447" s="38"/>
      <c r="H447" s="37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</row>
    <row r="448" ht="18.75" customHeight="1">
      <c r="A448" s="37"/>
      <c r="B448" s="30"/>
      <c r="C448" s="30"/>
      <c r="D448" s="30"/>
      <c r="E448" s="37"/>
      <c r="F448" s="37"/>
      <c r="G448" s="38"/>
      <c r="H448" s="37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</row>
    <row r="449" ht="18.75" customHeight="1">
      <c r="A449" s="37"/>
      <c r="B449" s="30"/>
      <c r="C449" s="30"/>
      <c r="D449" s="30"/>
      <c r="E449" s="37"/>
      <c r="F449" s="37"/>
      <c r="G449" s="38"/>
      <c r="H449" s="37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</row>
    <row r="450" ht="18.75" customHeight="1">
      <c r="A450" s="37"/>
      <c r="B450" s="30"/>
      <c r="C450" s="30"/>
      <c r="D450" s="30"/>
      <c r="E450" s="37"/>
      <c r="F450" s="37"/>
      <c r="G450" s="38"/>
      <c r="H450" s="37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</row>
    <row r="451" ht="18.75" customHeight="1">
      <c r="A451" s="37"/>
      <c r="B451" s="30"/>
      <c r="C451" s="30"/>
      <c r="D451" s="30"/>
      <c r="E451" s="37"/>
      <c r="F451" s="37"/>
      <c r="G451" s="38"/>
      <c r="H451" s="37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</row>
    <row r="452" ht="18.75" customHeight="1">
      <c r="A452" s="37"/>
      <c r="B452" s="30"/>
      <c r="C452" s="30"/>
      <c r="D452" s="30"/>
      <c r="E452" s="37"/>
      <c r="F452" s="37"/>
      <c r="G452" s="38"/>
      <c r="H452" s="37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</row>
    <row r="453" ht="18.75" customHeight="1">
      <c r="A453" s="37"/>
      <c r="B453" s="30"/>
      <c r="C453" s="30"/>
      <c r="D453" s="30"/>
      <c r="E453" s="37"/>
      <c r="F453" s="37"/>
      <c r="G453" s="38"/>
      <c r="H453" s="37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</row>
    <row r="454" ht="18.75" customHeight="1">
      <c r="A454" s="37"/>
      <c r="B454" s="30"/>
      <c r="C454" s="30"/>
      <c r="D454" s="30"/>
      <c r="E454" s="37"/>
      <c r="F454" s="37"/>
      <c r="G454" s="38"/>
      <c r="H454" s="37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</row>
    <row r="455" ht="18.75" customHeight="1">
      <c r="A455" s="37"/>
      <c r="B455" s="30"/>
      <c r="C455" s="30"/>
      <c r="D455" s="30"/>
      <c r="E455" s="37"/>
      <c r="F455" s="37"/>
      <c r="G455" s="38"/>
      <c r="H455" s="37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</row>
    <row r="456" ht="18.75" customHeight="1">
      <c r="A456" s="37"/>
      <c r="B456" s="30"/>
      <c r="C456" s="30"/>
      <c r="D456" s="30"/>
      <c r="E456" s="37"/>
      <c r="F456" s="37"/>
      <c r="G456" s="38"/>
      <c r="H456" s="37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</row>
    <row r="457" ht="18.75" customHeight="1">
      <c r="A457" s="37"/>
      <c r="B457" s="30"/>
      <c r="C457" s="30"/>
      <c r="D457" s="30"/>
      <c r="E457" s="37"/>
      <c r="F457" s="37"/>
      <c r="G457" s="38"/>
      <c r="H457" s="37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</row>
    <row r="458" ht="18.75" customHeight="1">
      <c r="A458" s="37"/>
      <c r="B458" s="30"/>
      <c r="C458" s="30"/>
      <c r="D458" s="30"/>
      <c r="E458" s="37"/>
      <c r="F458" s="37"/>
      <c r="G458" s="38"/>
      <c r="H458" s="37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</row>
    <row r="459" ht="18.75" customHeight="1">
      <c r="A459" s="37"/>
      <c r="B459" s="30"/>
      <c r="C459" s="30"/>
      <c r="D459" s="30"/>
      <c r="E459" s="37"/>
      <c r="F459" s="37"/>
      <c r="G459" s="38"/>
      <c r="H459" s="37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</row>
    <row r="460" ht="18.75" customHeight="1">
      <c r="A460" s="37"/>
      <c r="B460" s="30"/>
      <c r="C460" s="30"/>
      <c r="D460" s="30"/>
      <c r="E460" s="37"/>
      <c r="F460" s="37"/>
      <c r="G460" s="38"/>
      <c r="H460" s="37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</row>
    <row r="461" ht="18.75" customHeight="1">
      <c r="A461" s="37"/>
      <c r="B461" s="30"/>
      <c r="C461" s="30"/>
      <c r="D461" s="30"/>
      <c r="E461" s="37"/>
      <c r="F461" s="37"/>
      <c r="G461" s="38"/>
      <c r="H461" s="37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</row>
    <row r="462" ht="18.75" customHeight="1">
      <c r="A462" s="37"/>
      <c r="B462" s="30"/>
      <c r="C462" s="30"/>
      <c r="D462" s="30"/>
      <c r="E462" s="37"/>
      <c r="F462" s="37"/>
      <c r="G462" s="38"/>
      <c r="H462" s="37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</row>
    <row r="463" ht="18.75" customHeight="1">
      <c r="A463" s="37"/>
      <c r="B463" s="30"/>
      <c r="C463" s="30"/>
      <c r="D463" s="30"/>
      <c r="E463" s="37"/>
      <c r="F463" s="37"/>
      <c r="G463" s="38"/>
      <c r="H463" s="37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</row>
    <row r="464" ht="18.75" customHeight="1">
      <c r="A464" s="37"/>
      <c r="B464" s="30"/>
      <c r="C464" s="30"/>
      <c r="D464" s="30"/>
      <c r="E464" s="37"/>
      <c r="F464" s="37"/>
      <c r="G464" s="38"/>
      <c r="H464" s="37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</row>
    <row r="465" ht="18.75" customHeight="1">
      <c r="A465" s="37"/>
      <c r="B465" s="30"/>
      <c r="C465" s="30"/>
      <c r="D465" s="30"/>
      <c r="E465" s="37"/>
      <c r="F465" s="37"/>
      <c r="G465" s="38"/>
      <c r="H465" s="37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</row>
    <row r="466" ht="18.75" customHeight="1">
      <c r="A466" s="37"/>
      <c r="B466" s="30"/>
      <c r="C466" s="30"/>
      <c r="D466" s="30"/>
      <c r="E466" s="37"/>
      <c r="F466" s="37"/>
      <c r="G466" s="38"/>
      <c r="H466" s="37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</row>
    <row r="467" ht="18.75" customHeight="1">
      <c r="A467" s="37"/>
      <c r="B467" s="30"/>
      <c r="C467" s="30"/>
      <c r="D467" s="30"/>
      <c r="E467" s="37"/>
      <c r="F467" s="37"/>
      <c r="G467" s="38"/>
      <c r="H467" s="37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</row>
    <row r="468" ht="18.75" customHeight="1">
      <c r="A468" s="37"/>
      <c r="B468" s="30"/>
      <c r="C468" s="30"/>
      <c r="D468" s="30"/>
      <c r="E468" s="37"/>
      <c r="F468" s="37"/>
      <c r="G468" s="38"/>
      <c r="H468" s="37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</row>
    <row r="469" ht="18.75" customHeight="1">
      <c r="A469" s="37"/>
      <c r="B469" s="30"/>
      <c r="C469" s="30"/>
      <c r="D469" s="30"/>
      <c r="E469" s="37"/>
      <c r="F469" s="37"/>
      <c r="G469" s="38"/>
      <c r="H469" s="37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</row>
    <row r="470" ht="18.75" customHeight="1">
      <c r="A470" s="37"/>
      <c r="B470" s="30"/>
      <c r="C470" s="30"/>
      <c r="D470" s="30"/>
      <c r="E470" s="37"/>
      <c r="F470" s="37"/>
      <c r="G470" s="38"/>
      <c r="H470" s="37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</row>
    <row r="471" ht="18.75" customHeight="1">
      <c r="A471" s="37"/>
      <c r="B471" s="30"/>
      <c r="C471" s="30"/>
      <c r="D471" s="30"/>
      <c r="E471" s="37"/>
      <c r="F471" s="37"/>
      <c r="G471" s="38"/>
      <c r="H471" s="37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</row>
    <row r="472" ht="18.75" customHeight="1">
      <c r="A472" s="37"/>
      <c r="B472" s="30"/>
      <c r="C472" s="30"/>
      <c r="D472" s="30"/>
      <c r="E472" s="37"/>
      <c r="F472" s="37"/>
      <c r="G472" s="38"/>
      <c r="H472" s="37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</row>
    <row r="473" ht="18.75" customHeight="1">
      <c r="A473" s="37"/>
      <c r="B473" s="30"/>
      <c r="C473" s="30"/>
      <c r="D473" s="30"/>
      <c r="E473" s="37"/>
      <c r="F473" s="37"/>
      <c r="G473" s="38"/>
      <c r="H473" s="37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</row>
    <row r="474" ht="18.75" customHeight="1">
      <c r="A474" s="37"/>
      <c r="B474" s="30"/>
      <c r="C474" s="30"/>
      <c r="D474" s="30"/>
      <c r="E474" s="37"/>
      <c r="F474" s="37"/>
      <c r="G474" s="38"/>
      <c r="H474" s="37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</row>
    <row r="475" ht="18.75" customHeight="1">
      <c r="A475" s="37"/>
      <c r="B475" s="30"/>
      <c r="C475" s="30"/>
      <c r="D475" s="30"/>
      <c r="E475" s="37"/>
      <c r="F475" s="37"/>
      <c r="G475" s="38"/>
      <c r="H475" s="37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</row>
    <row r="476" ht="18.75" customHeight="1">
      <c r="A476" s="37"/>
      <c r="B476" s="30"/>
      <c r="C476" s="30"/>
      <c r="D476" s="30"/>
      <c r="E476" s="37"/>
      <c r="F476" s="37"/>
      <c r="G476" s="38"/>
      <c r="H476" s="37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</row>
    <row r="477" ht="18.75" customHeight="1">
      <c r="A477" s="37"/>
      <c r="B477" s="30"/>
      <c r="C477" s="30"/>
      <c r="D477" s="30"/>
      <c r="E477" s="37"/>
      <c r="F477" s="37"/>
      <c r="G477" s="38"/>
      <c r="H477" s="37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</row>
    <row r="478" ht="18.75" customHeight="1">
      <c r="A478" s="37"/>
      <c r="B478" s="30"/>
      <c r="C478" s="30"/>
      <c r="D478" s="30"/>
      <c r="E478" s="37"/>
      <c r="F478" s="37"/>
      <c r="G478" s="38"/>
      <c r="H478" s="37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</row>
    <row r="479" ht="18.75" customHeight="1">
      <c r="A479" s="37"/>
      <c r="B479" s="30"/>
      <c r="C479" s="30"/>
      <c r="D479" s="30"/>
      <c r="E479" s="37"/>
      <c r="F479" s="37"/>
      <c r="G479" s="38"/>
      <c r="H479" s="37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</row>
    <row r="480" ht="18.75" customHeight="1">
      <c r="A480" s="37"/>
      <c r="B480" s="30"/>
      <c r="C480" s="30"/>
      <c r="D480" s="30"/>
      <c r="E480" s="37"/>
      <c r="F480" s="37"/>
      <c r="G480" s="38"/>
      <c r="H480" s="37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</row>
    <row r="481" ht="18.75" customHeight="1">
      <c r="A481" s="37"/>
      <c r="B481" s="30"/>
      <c r="C481" s="30"/>
      <c r="D481" s="30"/>
      <c r="E481" s="37"/>
      <c r="F481" s="37"/>
      <c r="G481" s="38"/>
      <c r="H481" s="37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</row>
    <row r="482" ht="18.75" customHeight="1">
      <c r="A482" s="37"/>
      <c r="B482" s="30"/>
      <c r="C482" s="30"/>
      <c r="D482" s="30"/>
      <c r="E482" s="37"/>
      <c r="F482" s="37"/>
      <c r="G482" s="38"/>
      <c r="H482" s="37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</row>
    <row r="483" ht="18.75" customHeight="1">
      <c r="A483" s="37"/>
      <c r="B483" s="30"/>
      <c r="C483" s="30"/>
      <c r="D483" s="30"/>
      <c r="E483" s="37"/>
      <c r="F483" s="37"/>
      <c r="G483" s="38"/>
      <c r="H483" s="37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</row>
    <row r="484" ht="18.75" customHeight="1">
      <c r="A484" s="37"/>
      <c r="B484" s="30"/>
      <c r="C484" s="30"/>
      <c r="D484" s="30"/>
      <c r="E484" s="37"/>
      <c r="F484" s="37"/>
      <c r="G484" s="38"/>
      <c r="H484" s="37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</row>
    <row r="485" ht="18.75" customHeight="1">
      <c r="A485" s="37"/>
      <c r="B485" s="30"/>
      <c r="C485" s="30"/>
      <c r="D485" s="30"/>
      <c r="E485" s="37"/>
      <c r="F485" s="37"/>
      <c r="G485" s="38"/>
      <c r="H485" s="37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</row>
    <row r="486" ht="18.75" customHeight="1">
      <c r="A486" s="37"/>
      <c r="B486" s="30"/>
      <c r="C486" s="30"/>
      <c r="D486" s="30"/>
      <c r="E486" s="37"/>
      <c r="F486" s="37"/>
      <c r="G486" s="38"/>
      <c r="H486" s="37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</row>
    <row r="487" ht="18.75" customHeight="1">
      <c r="A487" s="37"/>
      <c r="B487" s="30"/>
      <c r="C487" s="30"/>
      <c r="D487" s="30"/>
      <c r="E487" s="37"/>
      <c r="F487" s="37"/>
      <c r="G487" s="38"/>
      <c r="H487" s="37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</row>
    <row r="488" ht="18.75" customHeight="1">
      <c r="A488" s="37"/>
      <c r="B488" s="30"/>
      <c r="C488" s="30"/>
      <c r="D488" s="30"/>
      <c r="E488" s="37"/>
      <c r="F488" s="37"/>
      <c r="G488" s="38"/>
      <c r="H488" s="37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</row>
    <row r="489" ht="18.75" customHeight="1">
      <c r="A489" s="37"/>
      <c r="B489" s="30"/>
      <c r="C489" s="30"/>
      <c r="D489" s="30"/>
      <c r="E489" s="37"/>
      <c r="F489" s="37"/>
      <c r="G489" s="38"/>
      <c r="H489" s="37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</row>
    <row r="490" ht="18.75" customHeight="1">
      <c r="A490" s="37"/>
      <c r="B490" s="30"/>
      <c r="C490" s="30"/>
      <c r="D490" s="30"/>
      <c r="E490" s="37"/>
      <c r="F490" s="37"/>
      <c r="G490" s="38"/>
      <c r="H490" s="37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</row>
    <row r="491" ht="18.75" customHeight="1">
      <c r="A491" s="37"/>
      <c r="B491" s="30"/>
      <c r="C491" s="30"/>
      <c r="D491" s="30"/>
      <c r="E491" s="37"/>
      <c r="F491" s="37"/>
      <c r="G491" s="38"/>
      <c r="H491" s="37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</row>
    <row r="492" ht="18.75" customHeight="1">
      <c r="A492" s="37"/>
      <c r="B492" s="30"/>
      <c r="C492" s="30"/>
      <c r="D492" s="30"/>
      <c r="E492" s="37"/>
      <c r="F492" s="37"/>
      <c r="G492" s="38"/>
      <c r="H492" s="37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</row>
    <row r="493" ht="18.75" customHeight="1">
      <c r="A493" s="37"/>
      <c r="B493" s="30"/>
      <c r="C493" s="30"/>
      <c r="D493" s="30"/>
      <c r="E493" s="37"/>
      <c r="F493" s="37"/>
      <c r="G493" s="38"/>
      <c r="H493" s="37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</row>
    <row r="494" ht="18.75" customHeight="1">
      <c r="A494" s="37"/>
      <c r="B494" s="30"/>
      <c r="C494" s="30"/>
      <c r="D494" s="30"/>
      <c r="E494" s="37"/>
      <c r="F494" s="37"/>
      <c r="G494" s="38"/>
      <c r="H494" s="37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</row>
    <row r="495" ht="18.75" customHeight="1">
      <c r="A495" s="37"/>
      <c r="B495" s="30"/>
      <c r="C495" s="30"/>
      <c r="D495" s="30"/>
      <c r="E495" s="37"/>
      <c r="F495" s="37"/>
      <c r="G495" s="38"/>
      <c r="H495" s="37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</row>
    <row r="496" ht="18.75" customHeight="1">
      <c r="A496" s="37"/>
      <c r="B496" s="30"/>
      <c r="C496" s="30"/>
      <c r="D496" s="30"/>
      <c r="E496" s="37"/>
      <c r="F496" s="37"/>
      <c r="G496" s="38"/>
      <c r="H496" s="37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</row>
    <row r="497" ht="18.75" customHeight="1">
      <c r="A497" s="37"/>
      <c r="B497" s="30"/>
      <c r="C497" s="30"/>
      <c r="D497" s="30"/>
      <c r="E497" s="37"/>
      <c r="F497" s="37"/>
      <c r="G497" s="38"/>
      <c r="H497" s="37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</row>
    <row r="498" ht="18.75" customHeight="1">
      <c r="A498" s="37"/>
      <c r="B498" s="30"/>
      <c r="C498" s="30"/>
      <c r="D498" s="30"/>
      <c r="E498" s="37"/>
      <c r="F498" s="37"/>
      <c r="G498" s="38"/>
      <c r="H498" s="37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</row>
    <row r="499" ht="18.75" customHeight="1">
      <c r="A499" s="37"/>
      <c r="B499" s="30"/>
      <c r="C499" s="30"/>
      <c r="D499" s="30"/>
      <c r="E499" s="37"/>
      <c r="F499" s="37"/>
      <c r="G499" s="38"/>
      <c r="H499" s="37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</row>
    <row r="500" ht="18.75" customHeight="1">
      <c r="A500" s="37"/>
      <c r="B500" s="30"/>
      <c r="C500" s="30"/>
      <c r="D500" s="30"/>
      <c r="E500" s="37"/>
      <c r="F500" s="37"/>
      <c r="G500" s="38"/>
      <c r="H500" s="37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</row>
    <row r="501" ht="18.75" customHeight="1">
      <c r="A501" s="37"/>
      <c r="B501" s="30"/>
      <c r="C501" s="30"/>
      <c r="D501" s="30"/>
      <c r="E501" s="37"/>
      <c r="F501" s="37"/>
      <c r="G501" s="38"/>
      <c r="H501" s="37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</row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1" width="18.29"/>
    <col customWidth="1" min="2" max="2" width="23.86"/>
    <col customWidth="1" min="3" max="3" width="13.71"/>
    <col customWidth="1" min="4" max="4" width="15.71"/>
    <col customWidth="1" min="5" max="5" width="12.71"/>
    <col customWidth="1" min="6" max="6" width="10.43"/>
    <col customWidth="1" min="7" max="7" width="22.71"/>
    <col customWidth="1" min="8" max="8" width="32.43"/>
    <col customWidth="1" min="9" max="9" width="19.43"/>
    <col customWidth="1" min="10" max="10" width="33.71"/>
    <col customWidth="1" min="11" max="11" width="29.71"/>
    <col customWidth="1" min="12" max="12" width="48.86"/>
    <col customWidth="1" min="13" max="13" width="12.0"/>
    <col customWidth="1" min="14" max="14" width="12.71"/>
    <col customWidth="1" min="15" max="15" width="161.14"/>
    <col customWidth="1" min="16" max="16" width="69.71"/>
    <col customWidth="1" min="17" max="27" width="13.57"/>
  </cols>
  <sheetData>
    <row r="1" ht="18.75" customHeight="1">
      <c r="A1" s="25" t="s">
        <v>61</v>
      </c>
      <c r="B1" s="26" t="s">
        <v>62</v>
      </c>
      <c r="C1" s="26" t="s">
        <v>63</v>
      </c>
      <c r="D1" s="26" t="s">
        <v>63</v>
      </c>
      <c r="E1" s="26" t="s">
        <v>64</v>
      </c>
      <c r="F1" s="27" t="s">
        <v>65</v>
      </c>
      <c r="G1" s="27" t="s">
        <v>66</v>
      </c>
      <c r="H1" s="39" t="s">
        <v>67</v>
      </c>
      <c r="I1" s="25" t="s">
        <v>68</v>
      </c>
      <c r="J1" s="29" t="s">
        <v>69</v>
      </c>
      <c r="K1" s="29" t="s">
        <v>70</v>
      </c>
      <c r="L1" s="29" t="s">
        <v>71</v>
      </c>
      <c r="M1" s="25" t="s">
        <v>383</v>
      </c>
      <c r="N1" s="30"/>
      <c r="O1" s="4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</row>
    <row r="2" ht="15.75" customHeight="1">
      <c r="A2" s="31">
        <v>2495.0</v>
      </c>
      <c r="B2" s="32" t="s">
        <v>230</v>
      </c>
      <c r="C2" s="32" t="s">
        <v>231</v>
      </c>
      <c r="D2" s="32" t="s">
        <v>384</v>
      </c>
      <c r="E2" s="32" t="s">
        <v>88</v>
      </c>
      <c r="F2" s="33">
        <v>9.0</v>
      </c>
      <c r="G2" s="33">
        <v>999.0</v>
      </c>
      <c r="H2" s="34">
        <v>25403.0</v>
      </c>
      <c r="I2" s="31">
        <v>4.0</v>
      </c>
      <c r="J2" s="35" t="s">
        <v>76</v>
      </c>
      <c r="K2" s="35" t="s">
        <v>75</v>
      </c>
      <c r="L2" s="35" t="s">
        <v>76</v>
      </c>
      <c r="M2" s="41">
        <v>174.0</v>
      </c>
      <c r="N2" s="30"/>
      <c r="O2" s="42" t="s">
        <v>385</v>
      </c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</row>
    <row r="3" ht="15.75" customHeight="1">
      <c r="A3" s="31">
        <v>3068.0</v>
      </c>
      <c r="B3" s="32" t="s">
        <v>343</v>
      </c>
      <c r="C3" s="32" t="s">
        <v>201</v>
      </c>
      <c r="D3" s="32" t="s">
        <v>200</v>
      </c>
      <c r="E3" s="32" t="s">
        <v>100</v>
      </c>
      <c r="F3" s="33">
        <v>4.0</v>
      </c>
      <c r="G3" s="33">
        <v>997.0</v>
      </c>
      <c r="H3" s="34">
        <v>23040.0</v>
      </c>
      <c r="I3" s="31">
        <v>4.0</v>
      </c>
      <c r="J3" s="35" t="s">
        <v>76</v>
      </c>
      <c r="K3" s="35" t="s">
        <v>76</v>
      </c>
      <c r="L3" s="35" t="s">
        <v>76</v>
      </c>
      <c r="M3" s="41">
        <v>268.0</v>
      </c>
      <c r="N3" s="30"/>
      <c r="O3" s="42" t="s">
        <v>386</v>
      </c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</row>
    <row r="4" ht="15.75" customHeight="1">
      <c r="A4" s="31">
        <v>3811.0</v>
      </c>
      <c r="B4" s="32" t="s">
        <v>374</v>
      </c>
      <c r="C4" s="32" t="s">
        <v>151</v>
      </c>
      <c r="D4" s="32" t="s">
        <v>150</v>
      </c>
      <c r="E4" s="32" t="s">
        <v>88</v>
      </c>
      <c r="F4" s="33">
        <v>15.0</v>
      </c>
      <c r="G4" s="33">
        <v>992.0</v>
      </c>
      <c r="H4" s="36">
        <v>24098.0</v>
      </c>
      <c r="I4" s="31">
        <v>8.0</v>
      </c>
      <c r="J4" s="35" t="s">
        <v>75</v>
      </c>
      <c r="K4" s="35" t="s">
        <v>76</v>
      </c>
      <c r="L4" s="35" t="s">
        <v>75</v>
      </c>
      <c r="M4" s="41">
        <v>294.0</v>
      </c>
      <c r="N4" s="30"/>
      <c r="O4" s="4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</row>
    <row r="5" ht="15.75" customHeight="1">
      <c r="A5" s="31">
        <v>4800.0</v>
      </c>
      <c r="B5" s="32" t="s">
        <v>289</v>
      </c>
      <c r="C5" s="32" t="s">
        <v>156</v>
      </c>
      <c r="D5" s="32" t="s">
        <v>387</v>
      </c>
      <c r="E5" s="32" t="s">
        <v>79</v>
      </c>
      <c r="F5" s="33">
        <v>8.0</v>
      </c>
      <c r="G5" s="33">
        <v>991.0</v>
      </c>
      <c r="H5" s="34">
        <v>27784.0</v>
      </c>
      <c r="I5" s="31">
        <v>1.0</v>
      </c>
      <c r="J5" s="35" t="s">
        <v>75</v>
      </c>
      <c r="K5" s="35" t="s">
        <v>75</v>
      </c>
      <c r="L5" s="35" t="s">
        <v>75</v>
      </c>
      <c r="M5" s="41">
        <v>220.0</v>
      </c>
      <c r="N5" s="1"/>
      <c r="O5" s="42" t="s">
        <v>2</v>
      </c>
      <c r="P5" s="1"/>
      <c r="Q5" s="1"/>
      <c r="R5" s="1"/>
      <c r="S5" s="1"/>
      <c r="T5" s="1"/>
      <c r="U5" s="30"/>
      <c r="V5" s="30"/>
      <c r="W5" s="30"/>
      <c r="X5" s="30"/>
      <c r="Y5" s="30"/>
      <c r="Z5" s="30"/>
      <c r="AA5" s="30"/>
    </row>
    <row r="6" ht="15.75" customHeight="1">
      <c r="A6" s="31">
        <v>4435.0</v>
      </c>
      <c r="B6" s="32" t="s">
        <v>83</v>
      </c>
      <c r="C6" s="32" t="s">
        <v>84</v>
      </c>
      <c r="D6" s="32" t="s">
        <v>83</v>
      </c>
      <c r="E6" s="32" t="s">
        <v>85</v>
      </c>
      <c r="F6" s="33">
        <v>7.0</v>
      </c>
      <c r="G6" s="33">
        <v>990.0</v>
      </c>
      <c r="H6" s="34">
        <v>28891.0</v>
      </c>
      <c r="I6" s="31">
        <v>7.0</v>
      </c>
      <c r="J6" s="35" t="s">
        <v>75</v>
      </c>
      <c r="K6" s="35" t="s">
        <v>75</v>
      </c>
      <c r="L6" s="35" t="s">
        <v>75</v>
      </c>
      <c r="M6" s="41">
        <v>112.0</v>
      </c>
      <c r="N6" s="1"/>
      <c r="O6" s="33">
        <f>COUNT(A2:A301)</f>
        <v>300</v>
      </c>
      <c r="P6" s="32" t="str">
        <f>FORMULATEXT(O6)</f>
        <v>=COUNT(A2:A301)</v>
      </c>
      <c r="Q6" s="32"/>
      <c r="R6" s="1"/>
      <c r="S6" s="1"/>
      <c r="T6" s="1"/>
      <c r="U6" s="30"/>
      <c r="V6" s="30"/>
      <c r="W6" s="30"/>
      <c r="X6" s="30"/>
      <c r="Y6" s="30"/>
      <c r="Z6" s="30"/>
      <c r="AA6" s="30"/>
    </row>
    <row r="7" ht="15.75" customHeight="1">
      <c r="A7" s="31">
        <v>4207.0</v>
      </c>
      <c r="B7" s="32" t="s">
        <v>286</v>
      </c>
      <c r="C7" s="32" t="s">
        <v>73</v>
      </c>
      <c r="D7" s="32" t="s">
        <v>72</v>
      </c>
      <c r="E7" s="32" t="s">
        <v>74</v>
      </c>
      <c r="F7" s="33">
        <v>6.0</v>
      </c>
      <c r="G7" s="33">
        <v>989.0</v>
      </c>
      <c r="H7" s="34">
        <v>32764.0</v>
      </c>
      <c r="I7" s="31">
        <v>4.0</v>
      </c>
      <c r="J7" s="35" t="s">
        <v>75</v>
      </c>
      <c r="K7" s="35" t="s">
        <v>76</v>
      </c>
      <c r="L7" s="35" t="s">
        <v>75</v>
      </c>
      <c r="M7" s="41">
        <v>218.0</v>
      </c>
      <c r="N7" s="1"/>
      <c r="O7" s="43"/>
      <c r="P7" s="1"/>
      <c r="Q7" s="1"/>
      <c r="R7" s="1"/>
      <c r="S7" s="1"/>
      <c r="T7" s="1"/>
      <c r="U7" s="30"/>
      <c r="V7" s="30"/>
      <c r="W7" s="30"/>
      <c r="X7" s="30"/>
      <c r="Y7" s="30"/>
      <c r="Z7" s="30"/>
      <c r="AA7" s="30"/>
    </row>
    <row r="8" ht="15.75" customHeight="1">
      <c r="A8" s="31">
        <v>5180.0</v>
      </c>
      <c r="B8" s="32" t="s">
        <v>213</v>
      </c>
      <c r="C8" s="32" t="s">
        <v>81</v>
      </c>
      <c r="D8" s="32" t="s">
        <v>80</v>
      </c>
      <c r="E8" s="32" t="s">
        <v>82</v>
      </c>
      <c r="F8" s="33">
        <v>7.0</v>
      </c>
      <c r="G8" s="33">
        <v>988.0</v>
      </c>
      <c r="H8" s="36">
        <v>32078.0</v>
      </c>
      <c r="I8" s="31">
        <v>8.0</v>
      </c>
      <c r="J8" s="35" t="s">
        <v>76</v>
      </c>
      <c r="K8" s="35" t="s">
        <v>76</v>
      </c>
      <c r="L8" s="35" t="s">
        <v>76</v>
      </c>
      <c r="M8" s="41">
        <v>162.0</v>
      </c>
      <c r="N8" s="1"/>
      <c r="O8" s="42" t="s">
        <v>9</v>
      </c>
      <c r="P8" s="1"/>
      <c r="Q8" s="1"/>
      <c r="R8" s="1"/>
      <c r="S8" s="1"/>
      <c r="T8" s="1"/>
      <c r="U8" s="30"/>
      <c r="V8" s="30"/>
      <c r="W8" s="30"/>
      <c r="X8" s="30"/>
      <c r="Y8" s="30"/>
      <c r="Z8" s="30"/>
      <c r="AA8" s="30"/>
    </row>
    <row r="9" ht="15.75" customHeight="1">
      <c r="A9" s="31">
        <v>5485.0</v>
      </c>
      <c r="B9" s="32" t="s">
        <v>337</v>
      </c>
      <c r="C9" s="32" t="s">
        <v>156</v>
      </c>
      <c r="D9" s="32" t="s">
        <v>387</v>
      </c>
      <c r="E9" s="32" t="s">
        <v>79</v>
      </c>
      <c r="F9" s="33">
        <v>10.0</v>
      </c>
      <c r="G9" s="33">
        <v>986.0</v>
      </c>
      <c r="H9" s="34">
        <v>34098.0</v>
      </c>
      <c r="I9" s="31">
        <v>5.0</v>
      </c>
      <c r="J9" s="35" t="s">
        <v>76</v>
      </c>
      <c r="K9" s="35" t="s">
        <v>75</v>
      </c>
      <c r="L9" s="35" t="s">
        <v>75</v>
      </c>
      <c r="M9" s="41">
        <v>263.0</v>
      </c>
      <c r="N9" s="1"/>
      <c r="O9" s="33">
        <f t="array" ref="O9">COUNT(UNIQUE(A2:A301))</f>
        <v>284</v>
      </c>
      <c r="P9" s="32" t="str">
        <f>FORMULATEXT(O9)</f>
        <v>=ARRAY_CONSTRAIN(ARRAYFORMULA(COUNT(UNIQUE(A2:A301))); 1; 1)</v>
      </c>
      <c r="Q9" s="32"/>
      <c r="R9" s="32"/>
      <c r="S9" s="1"/>
      <c r="T9" s="1"/>
      <c r="U9" s="30"/>
      <c r="V9" s="30"/>
      <c r="W9" s="30"/>
      <c r="X9" s="30"/>
      <c r="Y9" s="30"/>
      <c r="Z9" s="30"/>
      <c r="AA9" s="30"/>
    </row>
    <row r="10" ht="15.75" customHeight="1">
      <c r="A10" s="31">
        <v>2943.0</v>
      </c>
      <c r="B10" s="32" t="s">
        <v>169</v>
      </c>
      <c r="C10" s="32" t="s">
        <v>170</v>
      </c>
      <c r="D10" s="32" t="s">
        <v>169</v>
      </c>
      <c r="E10" s="32" t="s">
        <v>132</v>
      </c>
      <c r="F10" s="33">
        <v>10.0</v>
      </c>
      <c r="G10" s="33">
        <v>983.0</v>
      </c>
      <c r="H10" s="34">
        <v>33072.0</v>
      </c>
      <c r="I10" s="31">
        <v>5.0</v>
      </c>
      <c r="J10" s="35" t="s">
        <v>76</v>
      </c>
      <c r="K10" s="35" t="s">
        <v>75</v>
      </c>
      <c r="L10" s="35" t="s">
        <v>75</v>
      </c>
      <c r="M10" s="41">
        <v>41.0</v>
      </c>
      <c r="N10" s="1"/>
      <c r="O10" s="43"/>
      <c r="P10" s="1"/>
      <c r="Q10" s="1"/>
      <c r="R10" s="1"/>
      <c r="S10" s="1"/>
      <c r="T10" s="1"/>
      <c r="U10" s="30"/>
      <c r="V10" s="30"/>
      <c r="W10" s="30"/>
      <c r="X10" s="30"/>
      <c r="Y10" s="30"/>
      <c r="Z10" s="30"/>
      <c r="AA10" s="30"/>
    </row>
    <row r="11" ht="15.75" customHeight="1">
      <c r="A11" s="31">
        <v>3392.0</v>
      </c>
      <c r="B11" s="32" t="s">
        <v>83</v>
      </c>
      <c r="C11" s="32" t="s">
        <v>84</v>
      </c>
      <c r="D11" s="32" t="s">
        <v>83</v>
      </c>
      <c r="E11" s="32" t="s">
        <v>85</v>
      </c>
      <c r="F11" s="33">
        <v>1.0</v>
      </c>
      <c r="G11" s="33">
        <v>973.0</v>
      </c>
      <c r="H11" s="34">
        <v>25828.0</v>
      </c>
      <c r="I11" s="31">
        <v>2.0</v>
      </c>
      <c r="J11" s="35" t="s">
        <v>76</v>
      </c>
      <c r="K11" s="35" t="s">
        <v>75</v>
      </c>
      <c r="L11" s="35" t="s">
        <v>75</v>
      </c>
      <c r="M11" s="41">
        <v>4.0</v>
      </c>
      <c r="N11" s="1"/>
      <c r="O11" s="42" t="s">
        <v>32</v>
      </c>
      <c r="P11" s="1"/>
      <c r="Q11" s="1"/>
      <c r="R11" s="1"/>
      <c r="S11" s="1"/>
      <c r="T11" s="1"/>
      <c r="U11" s="30"/>
      <c r="V11" s="30"/>
      <c r="W11" s="30"/>
      <c r="X11" s="30"/>
      <c r="Y11" s="30"/>
      <c r="Z11" s="30"/>
      <c r="AA11" s="30"/>
    </row>
    <row r="12" ht="15.75" customHeight="1">
      <c r="A12" s="31">
        <v>4233.0</v>
      </c>
      <c r="B12" s="32" t="s">
        <v>340</v>
      </c>
      <c r="C12" s="32" t="s">
        <v>102</v>
      </c>
      <c r="D12" s="32" t="s">
        <v>101</v>
      </c>
      <c r="E12" s="32" t="s">
        <v>88</v>
      </c>
      <c r="F12" s="33">
        <v>5.0</v>
      </c>
      <c r="G12" s="33">
        <v>973.0</v>
      </c>
      <c r="H12" s="34">
        <v>30024.0</v>
      </c>
      <c r="I12" s="31">
        <v>6.0</v>
      </c>
      <c r="J12" s="35" t="s">
        <v>76</v>
      </c>
      <c r="K12" s="35" t="s">
        <v>76</v>
      </c>
      <c r="L12" s="35" t="s">
        <v>76</v>
      </c>
      <c r="M12" s="41">
        <v>266.0</v>
      </c>
      <c r="N12" s="1"/>
      <c r="O12" s="33">
        <f>COUNTIF(J2:J301,"Sì")</f>
        <v>146</v>
      </c>
      <c r="P12" s="32" t="str">
        <f>FORMULATEXT(O12)</f>
        <v>=COUNTIF(J2:J301;"Sì")</v>
      </c>
      <c r="Q12" s="1"/>
      <c r="R12" s="1"/>
      <c r="S12" s="1"/>
      <c r="T12" s="1"/>
      <c r="U12" s="30"/>
      <c r="V12" s="30"/>
      <c r="W12" s="30"/>
      <c r="X12" s="30"/>
      <c r="Y12" s="30"/>
      <c r="Z12" s="30"/>
      <c r="AA12" s="30"/>
    </row>
    <row r="13" ht="15.75" customHeight="1">
      <c r="A13" s="31">
        <v>4646.0</v>
      </c>
      <c r="B13" s="32" t="s">
        <v>72</v>
      </c>
      <c r="C13" s="32" t="s">
        <v>73</v>
      </c>
      <c r="D13" s="32" t="s">
        <v>72</v>
      </c>
      <c r="E13" s="32" t="s">
        <v>74</v>
      </c>
      <c r="F13" s="33">
        <v>5.0</v>
      </c>
      <c r="G13" s="33">
        <v>966.0</v>
      </c>
      <c r="H13" s="34">
        <v>26913.0</v>
      </c>
      <c r="I13" s="31">
        <v>2.0</v>
      </c>
      <c r="J13" s="35" t="s">
        <v>75</v>
      </c>
      <c r="K13" s="35" t="s">
        <v>75</v>
      </c>
      <c r="L13" s="35" t="s">
        <v>75</v>
      </c>
      <c r="M13" s="41">
        <v>117.0</v>
      </c>
      <c r="N13" s="1"/>
      <c r="O13" s="43"/>
      <c r="P13" s="1"/>
      <c r="Q13" s="1"/>
      <c r="R13" s="1"/>
      <c r="S13" s="1"/>
      <c r="T13" s="1"/>
      <c r="U13" s="30"/>
      <c r="V13" s="30"/>
      <c r="W13" s="30"/>
      <c r="X13" s="30"/>
      <c r="Y13" s="30"/>
      <c r="Z13" s="30"/>
      <c r="AA13" s="30"/>
    </row>
    <row r="14" ht="15.75" customHeight="1">
      <c r="A14" s="31">
        <v>2789.0</v>
      </c>
      <c r="B14" s="32" t="s">
        <v>106</v>
      </c>
      <c r="C14" s="32" t="s">
        <v>107</v>
      </c>
      <c r="D14" s="32" t="s">
        <v>106</v>
      </c>
      <c r="E14" s="32" t="s">
        <v>105</v>
      </c>
      <c r="F14" s="33">
        <v>6.0</v>
      </c>
      <c r="G14" s="33">
        <v>961.0</v>
      </c>
      <c r="H14" s="34">
        <v>31939.0</v>
      </c>
      <c r="I14" s="31">
        <v>7.0</v>
      </c>
      <c r="J14" s="35" t="s">
        <v>75</v>
      </c>
      <c r="K14" s="35" t="s">
        <v>76</v>
      </c>
      <c r="L14" s="35" t="s">
        <v>76</v>
      </c>
      <c r="M14" s="41">
        <v>12.0</v>
      </c>
      <c r="N14" s="30"/>
      <c r="O14" s="42" t="s">
        <v>40</v>
      </c>
      <c r="P14" s="1"/>
      <c r="Q14" s="1"/>
      <c r="R14" s="1"/>
      <c r="S14" s="1"/>
      <c r="T14" s="1"/>
      <c r="U14" s="1"/>
      <c r="V14" s="1"/>
      <c r="W14" s="30"/>
      <c r="X14" s="30"/>
      <c r="Y14" s="30"/>
      <c r="Z14" s="30"/>
      <c r="AA14" s="30"/>
    </row>
    <row r="15" ht="15.75" customHeight="1">
      <c r="A15" s="31">
        <v>3631.0</v>
      </c>
      <c r="B15" s="32" t="s">
        <v>217</v>
      </c>
      <c r="C15" s="32" t="s">
        <v>73</v>
      </c>
      <c r="D15" s="32" t="s">
        <v>72</v>
      </c>
      <c r="E15" s="32" t="s">
        <v>74</v>
      </c>
      <c r="F15" s="33">
        <v>5.0</v>
      </c>
      <c r="G15" s="33">
        <v>960.0</v>
      </c>
      <c r="H15" s="36">
        <v>29146.0</v>
      </c>
      <c r="I15" s="31">
        <v>3.0</v>
      </c>
      <c r="J15" s="35" t="s">
        <v>76</v>
      </c>
      <c r="K15" s="35" t="s">
        <v>76</v>
      </c>
      <c r="L15" s="35" t="s">
        <v>76</v>
      </c>
      <c r="M15" s="41">
        <v>165.0</v>
      </c>
      <c r="N15" s="30"/>
      <c r="O15" s="33">
        <f>COUNTIF(I2:I301,"&gt;6")</f>
        <v>125</v>
      </c>
      <c r="P15" s="32" t="str">
        <f t="shared" ref="P15:P16" si="1">FORMULATEXT(O15)</f>
        <v>=COUNTIF(I2:I301;"&gt;6")</v>
      </c>
      <c r="Q15" s="32"/>
      <c r="R15" s="32"/>
      <c r="S15" s="30"/>
      <c r="T15" s="30"/>
      <c r="U15" s="30"/>
      <c r="V15" s="30"/>
      <c r="W15" s="30"/>
      <c r="X15" s="30"/>
      <c r="Y15" s="30"/>
      <c r="Z15" s="30"/>
      <c r="AA15" s="30"/>
    </row>
    <row r="16" ht="15.75" customHeight="1">
      <c r="A16" s="31">
        <v>3912.0</v>
      </c>
      <c r="B16" s="32" t="s">
        <v>77</v>
      </c>
      <c r="C16" s="32" t="s">
        <v>78</v>
      </c>
      <c r="D16" s="32" t="s">
        <v>77</v>
      </c>
      <c r="E16" s="32" t="s">
        <v>79</v>
      </c>
      <c r="F16" s="33">
        <v>14.0</v>
      </c>
      <c r="G16" s="33">
        <v>955.0</v>
      </c>
      <c r="H16" s="36">
        <v>33162.0</v>
      </c>
      <c r="I16" s="31">
        <v>2.0</v>
      </c>
      <c r="J16" s="35" t="s">
        <v>76</v>
      </c>
      <c r="K16" s="35" t="s">
        <v>76</v>
      </c>
      <c r="L16" s="35" t="s">
        <v>75</v>
      </c>
      <c r="M16" s="41">
        <v>150.0</v>
      </c>
      <c r="N16" s="30"/>
      <c r="O16" s="33">
        <f>COUNTIFS(I2:I301,"&gt;6",J2:J301,"=Sì")</f>
        <v>63</v>
      </c>
      <c r="P16" s="32" t="str">
        <f t="shared" si="1"/>
        <v>=COUNTIFS(I2:I301;"&gt;6";J2:J301;"=Sì")</v>
      </c>
      <c r="Q16" s="32"/>
      <c r="R16" s="32"/>
      <c r="S16" s="30"/>
      <c r="T16" s="30"/>
      <c r="U16" s="30"/>
      <c r="V16" s="30"/>
      <c r="W16" s="30"/>
      <c r="X16" s="30"/>
      <c r="Y16" s="30"/>
      <c r="Z16" s="30"/>
      <c r="AA16" s="30"/>
    </row>
    <row r="17" ht="15.75" customHeight="1">
      <c r="A17" s="31">
        <v>2795.0</v>
      </c>
      <c r="B17" s="32" t="s">
        <v>353</v>
      </c>
      <c r="C17" s="32" t="s">
        <v>194</v>
      </c>
      <c r="D17" s="32" t="s">
        <v>193</v>
      </c>
      <c r="E17" s="32" t="s">
        <v>85</v>
      </c>
      <c r="F17" s="33">
        <v>6.0</v>
      </c>
      <c r="G17" s="33">
        <v>955.0</v>
      </c>
      <c r="H17" s="34">
        <v>25427.0</v>
      </c>
      <c r="I17" s="31">
        <v>8.0</v>
      </c>
      <c r="J17" s="35" t="s">
        <v>75</v>
      </c>
      <c r="K17" s="35" t="s">
        <v>76</v>
      </c>
      <c r="L17" s="35" t="s">
        <v>75</v>
      </c>
      <c r="M17" s="41">
        <v>277.0</v>
      </c>
      <c r="N17" s="30"/>
      <c r="O17" s="43"/>
      <c r="P17" s="1"/>
      <c r="Q17" s="1"/>
      <c r="R17" s="1"/>
      <c r="S17" s="1"/>
      <c r="T17" s="1"/>
      <c r="U17" s="1"/>
      <c r="V17" s="30"/>
      <c r="W17" s="30"/>
      <c r="X17" s="30"/>
      <c r="Y17" s="30"/>
      <c r="Z17" s="30"/>
      <c r="AA17" s="30"/>
    </row>
    <row r="18" ht="15.75" customHeight="1">
      <c r="A18" s="31">
        <v>4886.0</v>
      </c>
      <c r="B18" s="32" t="s">
        <v>77</v>
      </c>
      <c r="C18" s="32" t="s">
        <v>78</v>
      </c>
      <c r="D18" s="32" t="s">
        <v>77</v>
      </c>
      <c r="E18" s="32" t="s">
        <v>79</v>
      </c>
      <c r="F18" s="33">
        <v>15.0</v>
      </c>
      <c r="G18" s="33">
        <v>954.0</v>
      </c>
      <c r="H18" s="34">
        <v>21404.0</v>
      </c>
      <c r="I18" s="31">
        <v>8.0</v>
      </c>
      <c r="J18" s="35" t="s">
        <v>75</v>
      </c>
      <c r="K18" s="35" t="s">
        <v>75</v>
      </c>
      <c r="L18" s="35" t="s">
        <v>75</v>
      </c>
      <c r="M18" s="41">
        <v>122.0</v>
      </c>
      <c r="N18" s="30"/>
      <c r="O18" s="42" t="s">
        <v>43</v>
      </c>
      <c r="P18" s="1"/>
      <c r="Q18" s="1"/>
      <c r="R18" s="1"/>
      <c r="S18" s="1"/>
      <c r="T18" s="1"/>
      <c r="U18" s="1"/>
      <c r="V18" s="30"/>
      <c r="W18" s="30"/>
      <c r="X18" s="30"/>
      <c r="Y18" s="30"/>
      <c r="Z18" s="30"/>
      <c r="AA18" s="30"/>
    </row>
    <row r="19" ht="15.75" customHeight="1">
      <c r="A19" s="31">
        <v>4396.0</v>
      </c>
      <c r="B19" s="32" t="s">
        <v>142</v>
      </c>
      <c r="C19" s="32" t="s">
        <v>143</v>
      </c>
      <c r="D19" s="32" t="s">
        <v>142</v>
      </c>
      <c r="E19" s="32" t="s">
        <v>94</v>
      </c>
      <c r="F19" s="33">
        <v>1.0</v>
      </c>
      <c r="G19" s="33">
        <v>953.0</v>
      </c>
      <c r="H19" s="34">
        <v>20605.0</v>
      </c>
      <c r="I19" s="31">
        <v>3.0</v>
      </c>
      <c r="J19" s="35" t="s">
        <v>76</v>
      </c>
      <c r="K19" s="35" t="s">
        <v>76</v>
      </c>
      <c r="L19" s="35" t="s">
        <v>76</v>
      </c>
      <c r="M19" s="41">
        <v>28.0</v>
      </c>
      <c r="N19" s="30"/>
      <c r="O19" s="33">
        <f>COUNTIF(L2:L301,"=Sì")</f>
        <v>143</v>
      </c>
      <c r="P19" s="32" t="str">
        <f>FORMULATEXT(O19)</f>
        <v>=COUNTIF(L2:L301;"=Sì")</v>
      </c>
      <c r="Q19" s="32"/>
      <c r="R19" s="1"/>
      <c r="S19" s="1"/>
      <c r="T19" s="1"/>
      <c r="U19" s="1"/>
      <c r="V19" s="30"/>
      <c r="W19" s="30"/>
      <c r="X19" s="30"/>
      <c r="Y19" s="30"/>
      <c r="Z19" s="30"/>
      <c r="AA19" s="30"/>
    </row>
    <row r="20" ht="15.75" customHeight="1">
      <c r="A20" s="31">
        <v>4173.0</v>
      </c>
      <c r="B20" s="32" t="s">
        <v>369</v>
      </c>
      <c r="C20" s="32" t="s">
        <v>370</v>
      </c>
      <c r="D20" s="32" t="s">
        <v>369</v>
      </c>
      <c r="E20" s="32" t="s">
        <v>371</v>
      </c>
      <c r="F20" s="33">
        <v>12.0</v>
      </c>
      <c r="G20" s="33">
        <v>951.0</v>
      </c>
      <c r="H20" s="34">
        <v>22743.0</v>
      </c>
      <c r="I20" s="31">
        <v>8.0</v>
      </c>
      <c r="J20" s="35" t="s">
        <v>76</v>
      </c>
      <c r="K20" s="35" t="s">
        <v>76</v>
      </c>
      <c r="L20" s="35" t="s">
        <v>75</v>
      </c>
      <c r="M20" s="41">
        <v>291.0</v>
      </c>
      <c r="N20" s="30"/>
      <c r="O20" s="43"/>
      <c r="P20" s="1"/>
      <c r="Q20" s="1"/>
      <c r="R20" s="1"/>
      <c r="S20" s="1"/>
      <c r="T20" s="1"/>
      <c r="U20" s="1"/>
      <c r="V20" s="30"/>
      <c r="W20" s="30"/>
      <c r="X20" s="30"/>
      <c r="Y20" s="30"/>
      <c r="Z20" s="30"/>
      <c r="AA20" s="30"/>
    </row>
    <row r="21" ht="15.75" customHeight="1">
      <c r="A21" s="31">
        <v>4282.0</v>
      </c>
      <c r="B21" s="32" t="s">
        <v>77</v>
      </c>
      <c r="C21" s="32" t="s">
        <v>78</v>
      </c>
      <c r="D21" s="32" t="s">
        <v>77</v>
      </c>
      <c r="E21" s="32" t="s">
        <v>79</v>
      </c>
      <c r="F21" s="33">
        <v>15.0</v>
      </c>
      <c r="G21" s="33">
        <v>944.0</v>
      </c>
      <c r="H21" s="34">
        <v>34029.0</v>
      </c>
      <c r="I21" s="31">
        <v>9.0</v>
      </c>
      <c r="J21" s="35" t="s">
        <v>76</v>
      </c>
      <c r="K21" s="35" t="s">
        <v>75</v>
      </c>
      <c r="L21" s="35" t="s">
        <v>75</v>
      </c>
      <c r="M21" s="41">
        <v>142.0</v>
      </c>
      <c r="N21" s="30"/>
      <c r="O21" s="42" t="s">
        <v>47</v>
      </c>
      <c r="P21" s="1"/>
      <c r="Q21" s="1"/>
      <c r="R21" s="1"/>
      <c r="S21" s="1"/>
      <c r="T21" s="1"/>
      <c r="U21" s="1"/>
      <c r="V21" s="30"/>
      <c r="W21" s="30"/>
      <c r="X21" s="30"/>
      <c r="Y21" s="30"/>
      <c r="Z21" s="30"/>
      <c r="AA21" s="30"/>
    </row>
    <row r="22" ht="15.75" customHeight="1">
      <c r="A22" s="31">
        <v>4632.0</v>
      </c>
      <c r="B22" s="32" t="s">
        <v>234</v>
      </c>
      <c r="C22" s="32" t="s">
        <v>145</v>
      </c>
      <c r="D22" s="32" t="s">
        <v>144</v>
      </c>
      <c r="E22" s="32" t="s">
        <v>82</v>
      </c>
      <c r="F22" s="33">
        <v>10.0</v>
      </c>
      <c r="G22" s="33">
        <v>943.0</v>
      </c>
      <c r="H22" s="34">
        <v>29817.0</v>
      </c>
      <c r="I22" s="31">
        <v>5.0</v>
      </c>
      <c r="J22" s="35" t="s">
        <v>75</v>
      </c>
      <c r="K22" s="35" t="s">
        <v>76</v>
      </c>
      <c r="L22" s="35" t="s">
        <v>76</v>
      </c>
      <c r="M22" s="41">
        <v>176.0</v>
      </c>
      <c r="N22" s="30"/>
      <c r="O22" s="33">
        <f t="array" ref="O22">XLOOKUP(MAXIFS(G2:G301,J2:J301,"Sì",K2:K301,"Sì"),G2:G301,A2:A301,,0)</f>
        <v>3068</v>
      </c>
      <c r="P22" s="32" t="str">
        <f>FORMULATEXT(O22)</f>
        <v>=ARRAY_CONSTRAIN(ARRAYFORMULA(XLOOKUP(MAXIFS(G2:G301;J2:J301;"Sì";K2:K301;"Sì");G2:G301;A2:A301;;0)); 1; 1)</v>
      </c>
      <c r="Q22" s="1"/>
      <c r="R22" s="1"/>
      <c r="S22" s="1"/>
      <c r="T22" s="1"/>
      <c r="U22" s="1"/>
      <c r="V22" s="30"/>
      <c r="W22" s="30"/>
      <c r="X22" s="30"/>
      <c r="Y22" s="30"/>
      <c r="Z22" s="30"/>
      <c r="AA22" s="30"/>
    </row>
    <row r="23" ht="15.75" customHeight="1">
      <c r="A23" s="31">
        <v>4625.0</v>
      </c>
      <c r="B23" s="32" t="s">
        <v>83</v>
      </c>
      <c r="C23" s="32" t="s">
        <v>84</v>
      </c>
      <c r="D23" s="32" t="s">
        <v>83</v>
      </c>
      <c r="E23" s="32" t="s">
        <v>85</v>
      </c>
      <c r="F23" s="33">
        <v>15.0</v>
      </c>
      <c r="G23" s="33">
        <v>940.0</v>
      </c>
      <c r="H23" s="34">
        <v>26095.0</v>
      </c>
      <c r="I23" s="31">
        <v>8.0</v>
      </c>
      <c r="J23" s="35" t="s">
        <v>75</v>
      </c>
      <c r="K23" s="35" t="s">
        <v>75</v>
      </c>
      <c r="L23" s="35" t="s">
        <v>75</v>
      </c>
      <c r="M23" s="41">
        <v>124.0</v>
      </c>
      <c r="N23" s="30"/>
      <c r="O23" s="40"/>
      <c r="P23" s="30"/>
      <c r="Q23" s="30"/>
      <c r="R23" s="30"/>
      <c r="S23" s="1"/>
      <c r="T23" s="1"/>
      <c r="U23" s="1"/>
      <c r="V23" s="30"/>
      <c r="W23" s="30"/>
      <c r="X23" s="30"/>
      <c r="Y23" s="30"/>
      <c r="Z23" s="30"/>
      <c r="AA23" s="30"/>
    </row>
    <row r="24" ht="15.75" customHeight="1">
      <c r="A24" s="31">
        <v>3669.0</v>
      </c>
      <c r="B24" s="32" t="s">
        <v>321</v>
      </c>
      <c r="C24" s="32" t="s">
        <v>104</v>
      </c>
      <c r="D24" s="32" t="s">
        <v>103</v>
      </c>
      <c r="E24" s="32" t="s">
        <v>105</v>
      </c>
      <c r="F24" s="33">
        <v>9.0</v>
      </c>
      <c r="G24" s="33">
        <v>939.0</v>
      </c>
      <c r="H24" s="34">
        <v>30949.0</v>
      </c>
      <c r="I24" s="31">
        <v>2.0</v>
      </c>
      <c r="J24" s="35" t="s">
        <v>76</v>
      </c>
      <c r="K24" s="35" t="s">
        <v>75</v>
      </c>
      <c r="L24" s="35" t="s">
        <v>76</v>
      </c>
      <c r="M24" s="41">
        <v>248.0</v>
      </c>
      <c r="N24" s="30"/>
      <c r="O24" s="42" t="s">
        <v>53</v>
      </c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</row>
    <row r="25" ht="15.75" customHeight="1">
      <c r="A25" s="31">
        <v>5563.0</v>
      </c>
      <c r="B25" s="32" t="s">
        <v>301</v>
      </c>
      <c r="C25" s="32" t="s">
        <v>156</v>
      </c>
      <c r="D25" s="32" t="s">
        <v>387</v>
      </c>
      <c r="E25" s="32" t="s">
        <v>79</v>
      </c>
      <c r="F25" s="33">
        <v>15.0</v>
      </c>
      <c r="G25" s="33">
        <v>935.0</v>
      </c>
      <c r="H25" s="34">
        <v>33873.0</v>
      </c>
      <c r="I25" s="31">
        <v>4.0</v>
      </c>
      <c r="J25" s="35" t="s">
        <v>76</v>
      </c>
      <c r="K25" s="35" t="s">
        <v>76</v>
      </c>
      <c r="L25" s="35" t="s">
        <v>75</v>
      </c>
      <c r="M25" s="41">
        <v>230.0</v>
      </c>
      <c r="N25" s="30"/>
      <c r="O25" s="44">
        <f>AVERAGEIF(L2:L301,"Sì",G2:G301)</f>
        <v>514.0909091</v>
      </c>
      <c r="P25" s="32" t="str">
        <f t="shared" ref="P25:P26" si="2">FORMULATEXT(O25)</f>
        <v>=AVERAGEIF(L2:L301;"Sì";G2:G301)</v>
      </c>
      <c r="Q25" s="32"/>
      <c r="R25" s="30"/>
      <c r="S25" s="30"/>
      <c r="T25" s="30"/>
      <c r="U25" s="30"/>
      <c r="V25" s="30"/>
      <c r="W25" s="30"/>
      <c r="X25" s="30"/>
      <c r="Y25" s="30"/>
      <c r="Z25" s="30"/>
      <c r="AA25" s="30"/>
    </row>
    <row r="26" ht="15.75" customHeight="1">
      <c r="A26" s="31">
        <v>3028.0</v>
      </c>
      <c r="B26" s="32" t="s">
        <v>275</v>
      </c>
      <c r="C26" s="32" t="s">
        <v>158</v>
      </c>
      <c r="D26" s="32" t="s">
        <v>157</v>
      </c>
      <c r="E26" s="32" t="s">
        <v>74</v>
      </c>
      <c r="F26" s="33">
        <v>14.0</v>
      </c>
      <c r="G26" s="33">
        <v>934.0</v>
      </c>
      <c r="H26" s="34">
        <v>20484.0</v>
      </c>
      <c r="I26" s="31">
        <v>6.0</v>
      </c>
      <c r="J26" s="35" t="s">
        <v>76</v>
      </c>
      <c r="K26" s="35" t="s">
        <v>76</v>
      </c>
      <c r="L26" s="35" t="s">
        <v>75</v>
      </c>
      <c r="M26" s="41">
        <v>209.0</v>
      </c>
      <c r="N26" s="30"/>
      <c r="O26" s="44">
        <f>AVERAGEIF(L2:L301,"No",G2:G301)</f>
        <v>500.866242</v>
      </c>
      <c r="P26" s="32" t="str">
        <f t="shared" si="2"/>
        <v>=AVERAGEIF(L2:L301;"No";G2:G301)</v>
      </c>
      <c r="Q26" s="32"/>
      <c r="R26" s="30"/>
      <c r="S26" s="30"/>
      <c r="T26" s="30"/>
      <c r="U26" s="30"/>
      <c r="V26" s="30"/>
      <c r="W26" s="30"/>
      <c r="X26" s="30"/>
      <c r="Y26" s="30"/>
      <c r="Z26" s="30"/>
      <c r="AA26" s="30"/>
    </row>
    <row r="27" ht="18.75" customHeight="1">
      <c r="A27" s="31">
        <v>3681.0</v>
      </c>
      <c r="B27" s="32" t="s">
        <v>148</v>
      </c>
      <c r="C27" s="32" t="s">
        <v>149</v>
      </c>
      <c r="D27" s="32" t="s">
        <v>148</v>
      </c>
      <c r="E27" s="32" t="s">
        <v>139</v>
      </c>
      <c r="F27" s="33">
        <v>13.0</v>
      </c>
      <c r="G27" s="33">
        <v>933.0</v>
      </c>
      <c r="H27" s="34">
        <v>23968.0</v>
      </c>
      <c r="I27" s="31">
        <v>6.0</v>
      </c>
      <c r="J27" s="35" t="s">
        <v>75</v>
      </c>
      <c r="K27" s="35" t="s">
        <v>76</v>
      </c>
      <c r="L27" s="35" t="s">
        <v>75</v>
      </c>
      <c r="M27" s="41">
        <v>31.0</v>
      </c>
      <c r="N27" s="30"/>
      <c r="O27" s="4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</row>
    <row r="28" ht="18.75" customHeight="1">
      <c r="A28" s="31">
        <v>4456.0</v>
      </c>
      <c r="B28" s="32" t="s">
        <v>205</v>
      </c>
      <c r="C28" s="32" t="s">
        <v>206</v>
      </c>
      <c r="D28" s="32" t="s">
        <v>205</v>
      </c>
      <c r="E28" s="32" t="s">
        <v>79</v>
      </c>
      <c r="F28" s="33">
        <v>5.0</v>
      </c>
      <c r="G28" s="33">
        <v>926.0</v>
      </c>
      <c r="H28" s="36">
        <v>21839.0</v>
      </c>
      <c r="I28" s="31">
        <v>8.0</v>
      </c>
      <c r="J28" s="35" t="s">
        <v>76</v>
      </c>
      <c r="K28" s="35" t="s">
        <v>75</v>
      </c>
      <c r="L28" s="35" t="s">
        <v>75</v>
      </c>
      <c r="M28" s="41">
        <v>60.0</v>
      </c>
      <c r="N28" s="30"/>
      <c r="O28" s="43"/>
      <c r="P28" s="1"/>
      <c r="Q28" s="1"/>
      <c r="R28" s="1"/>
      <c r="S28" s="30"/>
      <c r="T28" s="30"/>
      <c r="U28" s="30"/>
      <c r="V28" s="30"/>
      <c r="W28" s="30"/>
      <c r="X28" s="30"/>
      <c r="Y28" s="30"/>
      <c r="Z28" s="30"/>
      <c r="AA28" s="30"/>
    </row>
    <row r="29" ht="18.75" customHeight="1">
      <c r="A29" s="31">
        <v>4966.0</v>
      </c>
      <c r="B29" s="32" t="s">
        <v>243</v>
      </c>
      <c r="C29" s="32" t="s">
        <v>84</v>
      </c>
      <c r="D29" s="32" t="s">
        <v>83</v>
      </c>
      <c r="E29" s="32" t="s">
        <v>85</v>
      </c>
      <c r="F29" s="33">
        <v>2.0</v>
      </c>
      <c r="G29" s="33">
        <v>921.0</v>
      </c>
      <c r="H29" s="34">
        <v>29222.0</v>
      </c>
      <c r="I29" s="31">
        <v>4.0</v>
      </c>
      <c r="J29" s="35" t="s">
        <v>76</v>
      </c>
      <c r="K29" s="35" t="s">
        <v>75</v>
      </c>
      <c r="L29" s="35" t="s">
        <v>76</v>
      </c>
      <c r="M29" s="41">
        <v>183.0</v>
      </c>
      <c r="N29" s="30"/>
      <c r="O29" s="4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</row>
    <row r="30" ht="18.75" customHeight="1">
      <c r="A30" s="31">
        <v>4572.0</v>
      </c>
      <c r="B30" s="32" t="s">
        <v>335</v>
      </c>
      <c r="C30" s="32" t="s">
        <v>158</v>
      </c>
      <c r="D30" s="32" t="s">
        <v>157</v>
      </c>
      <c r="E30" s="32" t="s">
        <v>74</v>
      </c>
      <c r="F30" s="33">
        <v>14.0</v>
      </c>
      <c r="G30" s="33">
        <v>921.0</v>
      </c>
      <c r="H30" s="34">
        <v>26857.0</v>
      </c>
      <c r="I30" s="31">
        <v>5.0</v>
      </c>
      <c r="J30" s="35" t="s">
        <v>75</v>
      </c>
      <c r="K30" s="35" t="s">
        <v>75</v>
      </c>
      <c r="L30" s="35" t="s">
        <v>76</v>
      </c>
      <c r="M30" s="41">
        <v>261.0</v>
      </c>
      <c r="N30" s="30"/>
      <c r="O30" s="43"/>
      <c r="P30" s="1"/>
      <c r="Q30" s="1"/>
      <c r="R30" s="1"/>
      <c r="S30" s="30"/>
      <c r="T30" s="30"/>
      <c r="U30" s="30"/>
      <c r="V30" s="30"/>
      <c r="W30" s="30"/>
      <c r="X30" s="30"/>
      <c r="Y30" s="30"/>
      <c r="Z30" s="30"/>
      <c r="AA30" s="30"/>
    </row>
    <row r="31" ht="18.75" customHeight="1">
      <c r="A31" s="31">
        <v>4622.0</v>
      </c>
      <c r="B31" s="32" t="s">
        <v>365</v>
      </c>
      <c r="C31" s="32" t="s">
        <v>81</v>
      </c>
      <c r="D31" s="32" t="s">
        <v>80</v>
      </c>
      <c r="E31" s="32" t="s">
        <v>82</v>
      </c>
      <c r="F31" s="33">
        <v>6.0</v>
      </c>
      <c r="G31" s="33">
        <v>909.0</v>
      </c>
      <c r="H31" s="34">
        <v>32184.0</v>
      </c>
      <c r="I31" s="31">
        <v>10.0</v>
      </c>
      <c r="J31" s="35" t="s">
        <v>75</v>
      </c>
      <c r="K31" s="35" t="s">
        <v>76</v>
      </c>
      <c r="L31" s="35" t="s">
        <v>75</v>
      </c>
      <c r="M31" s="41">
        <v>287.0</v>
      </c>
      <c r="N31" s="30"/>
      <c r="O31" s="43"/>
      <c r="P31" s="1"/>
      <c r="Q31" s="1"/>
      <c r="R31" s="1"/>
      <c r="S31" s="30"/>
      <c r="T31" s="30"/>
      <c r="U31" s="30"/>
      <c r="V31" s="30"/>
      <c r="W31" s="30"/>
      <c r="X31" s="30"/>
      <c r="Y31" s="30"/>
      <c r="Z31" s="30"/>
      <c r="AA31" s="30"/>
    </row>
    <row r="32" ht="18.75" customHeight="1">
      <c r="A32" s="31">
        <v>2826.0</v>
      </c>
      <c r="B32" s="32" t="s">
        <v>313</v>
      </c>
      <c r="C32" s="32" t="s">
        <v>73</v>
      </c>
      <c r="D32" s="32" t="s">
        <v>72</v>
      </c>
      <c r="E32" s="32" t="s">
        <v>74</v>
      </c>
      <c r="F32" s="33">
        <v>3.0</v>
      </c>
      <c r="G32" s="33">
        <v>900.0</v>
      </c>
      <c r="H32" s="34">
        <v>28734.0</v>
      </c>
      <c r="I32" s="31">
        <v>2.0</v>
      </c>
      <c r="J32" s="35" t="s">
        <v>75</v>
      </c>
      <c r="K32" s="35" t="s">
        <v>75</v>
      </c>
      <c r="L32" s="35" t="s">
        <v>75</v>
      </c>
      <c r="M32" s="41">
        <v>240.0</v>
      </c>
      <c r="N32" s="30"/>
      <c r="O32" s="4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</row>
    <row r="33" ht="18.75" customHeight="1">
      <c r="A33" s="31">
        <v>4169.0</v>
      </c>
      <c r="B33" s="32" t="s">
        <v>298</v>
      </c>
      <c r="C33" s="32" t="s">
        <v>73</v>
      </c>
      <c r="D33" s="32" t="s">
        <v>72</v>
      </c>
      <c r="E33" s="32" t="s">
        <v>74</v>
      </c>
      <c r="F33" s="33">
        <v>4.0</v>
      </c>
      <c r="G33" s="33">
        <v>896.0</v>
      </c>
      <c r="H33" s="34">
        <v>34646.0</v>
      </c>
      <c r="I33" s="31">
        <v>7.0</v>
      </c>
      <c r="J33" s="35" t="s">
        <v>75</v>
      </c>
      <c r="K33" s="35" t="s">
        <v>76</v>
      </c>
      <c r="L33" s="35" t="s">
        <v>75</v>
      </c>
      <c r="M33" s="41">
        <v>227.0</v>
      </c>
      <c r="N33" s="30"/>
      <c r="O33" s="4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</row>
    <row r="34" ht="18.75" customHeight="1">
      <c r="A34" s="31">
        <v>3286.0</v>
      </c>
      <c r="B34" s="32" t="s">
        <v>239</v>
      </c>
      <c r="C34" s="32" t="s">
        <v>81</v>
      </c>
      <c r="D34" s="32" t="s">
        <v>80</v>
      </c>
      <c r="E34" s="32" t="s">
        <v>82</v>
      </c>
      <c r="F34" s="33">
        <v>11.0</v>
      </c>
      <c r="G34" s="33">
        <v>890.0</v>
      </c>
      <c r="H34" s="34">
        <v>26141.0</v>
      </c>
      <c r="I34" s="31">
        <v>8.0</v>
      </c>
      <c r="J34" s="35" t="s">
        <v>75</v>
      </c>
      <c r="K34" s="35" t="s">
        <v>76</v>
      </c>
      <c r="L34" s="35" t="s">
        <v>76</v>
      </c>
      <c r="M34" s="41">
        <v>179.0</v>
      </c>
      <c r="N34" s="30"/>
      <c r="O34" s="4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</row>
    <row r="35" ht="18.75" customHeight="1">
      <c r="A35" s="31">
        <v>4300.0</v>
      </c>
      <c r="B35" s="32" t="s">
        <v>77</v>
      </c>
      <c r="C35" s="32" t="s">
        <v>78</v>
      </c>
      <c r="D35" s="32" t="s">
        <v>77</v>
      </c>
      <c r="E35" s="32" t="s">
        <v>79</v>
      </c>
      <c r="F35" s="33">
        <v>2.0</v>
      </c>
      <c r="G35" s="33">
        <v>886.0</v>
      </c>
      <c r="H35" s="34">
        <v>24375.0</v>
      </c>
      <c r="I35" s="31">
        <v>7.0</v>
      </c>
      <c r="J35" s="35" t="s">
        <v>76</v>
      </c>
      <c r="K35" s="35" t="s">
        <v>75</v>
      </c>
      <c r="L35" s="35" t="s">
        <v>76</v>
      </c>
      <c r="M35" s="41">
        <v>2.0</v>
      </c>
      <c r="N35" s="30"/>
      <c r="O35" s="4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</row>
    <row r="36" ht="18.75" customHeight="1">
      <c r="A36" s="31">
        <v>4918.0</v>
      </c>
      <c r="B36" s="32" t="s">
        <v>223</v>
      </c>
      <c r="C36" s="32" t="s">
        <v>224</v>
      </c>
      <c r="D36" s="32" t="s">
        <v>388</v>
      </c>
      <c r="E36" s="32" t="s">
        <v>79</v>
      </c>
      <c r="F36" s="33">
        <v>1.0</v>
      </c>
      <c r="G36" s="33">
        <v>883.0</v>
      </c>
      <c r="H36" s="34">
        <v>20153.0</v>
      </c>
      <c r="I36" s="31">
        <v>8.0</v>
      </c>
      <c r="J36" s="35" t="s">
        <v>76</v>
      </c>
      <c r="K36" s="35" t="s">
        <v>76</v>
      </c>
      <c r="L36" s="35" t="s">
        <v>76</v>
      </c>
      <c r="M36" s="41">
        <v>170.0</v>
      </c>
      <c r="N36" s="30"/>
      <c r="O36" s="4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</row>
    <row r="37" ht="18.75" customHeight="1">
      <c r="A37" s="31">
        <v>3675.0</v>
      </c>
      <c r="B37" s="32" t="s">
        <v>83</v>
      </c>
      <c r="C37" s="32" t="s">
        <v>84</v>
      </c>
      <c r="D37" s="32" t="s">
        <v>83</v>
      </c>
      <c r="E37" s="32" t="s">
        <v>85</v>
      </c>
      <c r="F37" s="33">
        <v>8.0</v>
      </c>
      <c r="G37" s="33">
        <v>882.0</v>
      </c>
      <c r="H37" s="34">
        <v>24574.0</v>
      </c>
      <c r="I37" s="31">
        <v>6.0</v>
      </c>
      <c r="J37" s="35" t="s">
        <v>75</v>
      </c>
      <c r="K37" s="35" t="s">
        <v>75</v>
      </c>
      <c r="L37" s="35" t="s">
        <v>75</v>
      </c>
      <c r="M37" s="41">
        <v>66.0</v>
      </c>
      <c r="N37" s="30"/>
      <c r="O37" s="4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</row>
    <row r="38" ht="18.75" customHeight="1">
      <c r="A38" s="31">
        <v>4468.0</v>
      </c>
      <c r="B38" s="32" t="s">
        <v>83</v>
      </c>
      <c r="C38" s="32" t="s">
        <v>84</v>
      </c>
      <c r="D38" s="32" t="s">
        <v>83</v>
      </c>
      <c r="E38" s="32" t="s">
        <v>85</v>
      </c>
      <c r="F38" s="33">
        <v>11.0</v>
      </c>
      <c r="G38" s="33">
        <v>877.0</v>
      </c>
      <c r="H38" s="34">
        <v>34488.0</v>
      </c>
      <c r="I38" s="31">
        <v>6.0</v>
      </c>
      <c r="J38" s="35" t="s">
        <v>75</v>
      </c>
      <c r="K38" s="35" t="s">
        <v>75</v>
      </c>
      <c r="L38" s="35" t="s">
        <v>76</v>
      </c>
      <c r="M38" s="41">
        <v>132.0</v>
      </c>
      <c r="N38" s="30"/>
      <c r="O38" s="4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</row>
    <row r="39" ht="18.75" customHeight="1">
      <c r="A39" s="31">
        <v>3564.0</v>
      </c>
      <c r="B39" s="32" t="s">
        <v>112</v>
      </c>
      <c r="C39" s="32" t="s">
        <v>113</v>
      </c>
      <c r="D39" s="32" t="s">
        <v>112</v>
      </c>
      <c r="E39" s="32" t="s">
        <v>114</v>
      </c>
      <c r="F39" s="33">
        <v>4.0</v>
      </c>
      <c r="G39" s="33">
        <v>870.0</v>
      </c>
      <c r="H39" s="34">
        <v>26477.0</v>
      </c>
      <c r="I39" s="31">
        <v>10.0</v>
      </c>
      <c r="J39" s="35" t="s">
        <v>75</v>
      </c>
      <c r="K39" s="35" t="s">
        <v>75</v>
      </c>
      <c r="L39" s="35" t="s">
        <v>75</v>
      </c>
      <c r="M39" s="41">
        <v>77.0</v>
      </c>
      <c r="N39" s="30"/>
      <c r="O39" s="4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</row>
    <row r="40" ht="18.75" customHeight="1">
      <c r="A40" s="31">
        <v>4152.0</v>
      </c>
      <c r="B40" s="32" t="s">
        <v>255</v>
      </c>
      <c r="C40" s="32" t="s">
        <v>256</v>
      </c>
      <c r="D40" s="32" t="s">
        <v>255</v>
      </c>
      <c r="E40" s="32" t="s">
        <v>79</v>
      </c>
      <c r="F40" s="33">
        <v>4.0</v>
      </c>
      <c r="G40" s="33">
        <v>869.0</v>
      </c>
      <c r="H40" s="34">
        <v>33003.0</v>
      </c>
      <c r="I40" s="31">
        <v>1.0</v>
      </c>
      <c r="J40" s="35" t="s">
        <v>75</v>
      </c>
      <c r="K40" s="35" t="s">
        <v>76</v>
      </c>
      <c r="L40" s="35" t="s">
        <v>76</v>
      </c>
      <c r="M40" s="41">
        <v>193.0</v>
      </c>
      <c r="N40" s="30"/>
      <c r="O40" s="4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</row>
    <row r="41" ht="18.75" customHeight="1">
      <c r="A41" s="31">
        <v>3868.0</v>
      </c>
      <c r="B41" s="32" t="s">
        <v>72</v>
      </c>
      <c r="C41" s="32" t="s">
        <v>73</v>
      </c>
      <c r="D41" s="32" t="s">
        <v>72</v>
      </c>
      <c r="E41" s="32" t="s">
        <v>74</v>
      </c>
      <c r="F41" s="33">
        <v>7.0</v>
      </c>
      <c r="G41" s="33">
        <v>867.0</v>
      </c>
      <c r="H41" s="34">
        <v>24495.0</v>
      </c>
      <c r="I41" s="31">
        <v>4.0</v>
      </c>
      <c r="J41" s="35" t="s">
        <v>75</v>
      </c>
      <c r="K41" s="35" t="s">
        <v>76</v>
      </c>
      <c r="L41" s="35" t="s">
        <v>76</v>
      </c>
      <c r="M41" s="41">
        <v>63.0</v>
      </c>
      <c r="N41" s="30"/>
      <c r="O41" s="4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</row>
    <row r="42" ht="18.75" customHeight="1">
      <c r="A42" s="31">
        <v>2322.0</v>
      </c>
      <c r="B42" s="32" t="s">
        <v>72</v>
      </c>
      <c r="C42" s="32" t="s">
        <v>73</v>
      </c>
      <c r="D42" s="32" t="s">
        <v>72</v>
      </c>
      <c r="E42" s="32" t="s">
        <v>74</v>
      </c>
      <c r="F42" s="33">
        <v>12.0</v>
      </c>
      <c r="G42" s="33">
        <v>867.0</v>
      </c>
      <c r="H42" s="36">
        <v>30981.0</v>
      </c>
      <c r="I42" s="31">
        <v>9.0</v>
      </c>
      <c r="J42" s="35" t="s">
        <v>76</v>
      </c>
      <c r="K42" s="35" t="s">
        <v>75</v>
      </c>
      <c r="L42" s="35" t="s">
        <v>76</v>
      </c>
      <c r="M42" s="41">
        <v>105.0</v>
      </c>
      <c r="N42" s="30"/>
      <c r="O42" s="4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</row>
    <row r="43" ht="18.75" customHeight="1">
      <c r="A43" s="31">
        <v>5243.0</v>
      </c>
      <c r="B43" s="32" t="s">
        <v>283</v>
      </c>
      <c r="C43" s="32" t="s">
        <v>156</v>
      </c>
      <c r="D43" s="32" t="s">
        <v>387</v>
      </c>
      <c r="E43" s="32" t="s">
        <v>79</v>
      </c>
      <c r="F43" s="33">
        <v>9.0</v>
      </c>
      <c r="G43" s="33">
        <v>856.0</v>
      </c>
      <c r="H43" s="34">
        <v>24133.0</v>
      </c>
      <c r="I43" s="31">
        <v>1.0</v>
      </c>
      <c r="J43" s="35" t="s">
        <v>76</v>
      </c>
      <c r="K43" s="35" t="s">
        <v>76</v>
      </c>
      <c r="L43" s="35" t="s">
        <v>75</v>
      </c>
      <c r="M43" s="41">
        <v>216.0</v>
      </c>
      <c r="N43" s="30"/>
      <c r="O43" s="4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</row>
    <row r="44" ht="18.75" customHeight="1">
      <c r="A44" s="31">
        <v>3383.0</v>
      </c>
      <c r="B44" s="32" t="s">
        <v>368</v>
      </c>
      <c r="C44" s="32" t="s">
        <v>134</v>
      </c>
      <c r="D44" s="32" t="s">
        <v>133</v>
      </c>
      <c r="E44" s="32" t="s">
        <v>97</v>
      </c>
      <c r="F44" s="33">
        <v>10.0</v>
      </c>
      <c r="G44" s="33">
        <v>854.0</v>
      </c>
      <c r="H44" s="34">
        <v>33666.0</v>
      </c>
      <c r="I44" s="31">
        <v>8.0</v>
      </c>
      <c r="J44" s="35" t="s">
        <v>76</v>
      </c>
      <c r="K44" s="35" t="s">
        <v>75</v>
      </c>
      <c r="L44" s="35" t="s">
        <v>76</v>
      </c>
      <c r="M44" s="41">
        <v>290.0</v>
      </c>
      <c r="N44" s="30"/>
      <c r="O44" s="4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</row>
    <row r="45" ht="18.75" customHeight="1">
      <c r="A45" s="31">
        <v>5473.0</v>
      </c>
      <c r="B45" s="32" t="s">
        <v>126</v>
      </c>
      <c r="C45" s="32" t="s">
        <v>127</v>
      </c>
      <c r="D45" s="32" t="s">
        <v>126</v>
      </c>
      <c r="E45" s="32" t="s">
        <v>94</v>
      </c>
      <c r="F45" s="33">
        <v>1.0</v>
      </c>
      <c r="G45" s="33">
        <v>853.0</v>
      </c>
      <c r="H45" s="34">
        <v>22688.0</v>
      </c>
      <c r="I45" s="31">
        <v>1.0</v>
      </c>
      <c r="J45" s="35" t="s">
        <v>75</v>
      </c>
      <c r="K45" s="35" t="s">
        <v>75</v>
      </c>
      <c r="L45" s="35" t="s">
        <v>75</v>
      </c>
      <c r="M45" s="41">
        <v>21.0</v>
      </c>
      <c r="N45" s="30"/>
      <c r="O45" s="4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</row>
    <row r="46" ht="18.75" customHeight="1">
      <c r="A46" s="31">
        <v>5529.0</v>
      </c>
      <c r="B46" s="32" t="s">
        <v>137</v>
      </c>
      <c r="C46" s="32" t="s">
        <v>138</v>
      </c>
      <c r="D46" s="32" t="s">
        <v>137</v>
      </c>
      <c r="E46" s="32" t="s">
        <v>139</v>
      </c>
      <c r="F46" s="33">
        <v>13.0</v>
      </c>
      <c r="G46" s="33">
        <v>851.0</v>
      </c>
      <c r="H46" s="34">
        <v>34176.0</v>
      </c>
      <c r="I46" s="31">
        <v>5.0</v>
      </c>
      <c r="J46" s="35" t="s">
        <v>75</v>
      </c>
      <c r="K46" s="35" t="s">
        <v>75</v>
      </c>
      <c r="L46" s="35" t="s">
        <v>75</v>
      </c>
      <c r="M46" s="41">
        <v>88.0</v>
      </c>
      <c r="N46" s="30"/>
      <c r="O46" s="4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</row>
    <row r="47" ht="18.75" customHeight="1">
      <c r="A47" s="31">
        <v>4898.0</v>
      </c>
      <c r="B47" s="32" t="s">
        <v>77</v>
      </c>
      <c r="C47" s="32" t="s">
        <v>78</v>
      </c>
      <c r="D47" s="32" t="s">
        <v>77</v>
      </c>
      <c r="E47" s="32" t="s">
        <v>79</v>
      </c>
      <c r="F47" s="33">
        <v>8.0</v>
      </c>
      <c r="G47" s="33">
        <v>851.0</v>
      </c>
      <c r="H47" s="34">
        <v>31524.0</v>
      </c>
      <c r="I47" s="31">
        <v>7.0</v>
      </c>
      <c r="J47" s="35" t="s">
        <v>76</v>
      </c>
      <c r="K47" s="35" t="s">
        <v>75</v>
      </c>
      <c r="L47" s="35" t="s">
        <v>76</v>
      </c>
      <c r="M47" s="41">
        <v>149.0</v>
      </c>
      <c r="N47" s="30"/>
      <c r="O47" s="4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</row>
    <row r="48" ht="18.75" customHeight="1">
      <c r="A48" s="31">
        <v>4657.0</v>
      </c>
      <c r="B48" s="32" t="s">
        <v>92</v>
      </c>
      <c r="C48" s="32" t="s">
        <v>93</v>
      </c>
      <c r="D48" s="32" t="s">
        <v>92</v>
      </c>
      <c r="E48" s="32" t="s">
        <v>94</v>
      </c>
      <c r="F48" s="33">
        <v>6.0</v>
      </c>
      <c r="G48" s="33">
        <v>846.0</v>
      </c>
      <c r="H48" s="34">
        <v>34226.0</v>
      </c>
      <c r="I48" s="31">
        <v>6.0</v>
      </c>
      <c r="J48" s="35" t="s">
        <v>76</v>
      </c>
      <c r="K48" s="35" t="s">
        <v>75</v>
      </c>
      <c r="L48" s="35" t="s">
        <v>76</v>
      </c>
      <c r="M48" s="41">
        <v>7.0</v>
      </c>
      <c r="N48" s="30"/>
      <c r="O48" s="4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</row>
    <row r="49" ht="18.75" customHeight="1">
      <c r="A49" s="31">
        <v>3192.0</v>
      </c>
      <c r="B49" s="32" t="s">
        <v>244</v>
      </c>
      <c r="C49" s="32" t="s">
        <v>118</v>
      </c>
      <c r="D49" s="32" t="s">
        <v>117</v>
      </c>
      <c r="E49" s="32" t="s">
        <v>100</v>
      </c>
      <c r="F49" s="33">
        <v>12.0</v>
      </c>
      <c r="G49" s="33">
        <v>845.0</v>
      </c>
      <c r="H49" s="34">
        <v>33444.0</v>
      </c>
      <c r="I49" s="31">
        <v>6.0</v>
      </c>
      <c r="J49" s="35" t="s">
        <v>76</v>
      </c>
      <c r="K49" s="35" t="s">
        <v>75</v>
      </c>
      <c r="L49" s="35" t="s">
        <v>76</v>
      </c>
      <c r="M49" s="41">
        <v>184.0</v>
      </c>
      <c r="N49" s="30"/>
      <c r="O49" s="4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</row>
    <row r="50" ht="18.75" customHeight="1">
      <c r="A50" s="31">
        <v>5356.0</v>
      </c>
      <c r="B50" s="32" t="s">
        <v>119</v>
      </c>
      <c r="C50" s="32" t="s">
        <v>120</v>
      </c>
      <c r="D50" s="32" t="s">
        <v>119</v>
      </c>
      <c r="E50" s="32" t="s">
        <v>97</v>
      </c>
      <c r="F50" s="33">
        <v>15.0</v>
      </c>
      <c r="G50" s="33">
        <v>833.0</v>
      </c>
      <c r="H50" s="36">
        <v>26631.0</v>
      </c>
      <c r="I50" s="31">
        <v>10.0</v>
      </c>
      <c r="J50" s="35" t="s">
        <v>76</v>
      </c>
      <c r="K50" s="35" t="s">
        <v>76</v>
      </c>
      <c r="L50" s="35" t="s">
        <v>76</v>
      </c>
      <c r="M50" s="41">
        <v>18.0</v>
      </c>
      <c r="N50" s="30"/>
      <c r="O50" s="4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</row>
    <row r="51" ht="18.75" customHeight="1">
      <c r="A51" s="31">
        <v>4885.0</v>
      </c>
      <c r="B51" s="32" t="s">
        <v>240</v>
      </c>
      <c r="C51" s="32" t="s">
        <v>78</v>
      </c>
      <c r="D51" s="32" t="s">
        <v>77</v>
      </c>
      <c r="E51" s="32" t="s">
        <v>79</v>
      </c>
      <c r="F51" s="33">
        <v>10.0</v>
      </c>
      <c r="G51" s="33">
        <v>832.0</v>
      </c>
      <c r="H51" s="36">
        <v>25520.0</v>
      </c>
      <c r="I51" s="31">
        <v>4.0</v>
      </c>
      <c r="J51" s="35" t="s">
        <v>75</v>
      </c>
      <c r="K51" s="35" t="s">
        <v>75</v>
      </c>
      <c r="L51" s="35" t="s">
        <v>76</v>
      </c>
      <c r="M51" s="41">
        <v>180.0</v>
      </c>
      <c r="N51" s="30"/>
      <c r="O51" s="4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</row>
    <row r="52" ht="18.75" customHeight="1">
      <c r="A52" s="31">
        <v>5307.0</v>
      </c>
      <c r="B52" s="32" t="s">
        <v>294</v>
      </c>
      <c r="C52" s="32" t="s">
        <v>78</v>
      </c>
      <c r="D52" s="32" t="s">
        <v>77</v>
      </c>
      <c r="E52" s="32" t="s">
        <v>79</v>
      </c>
      <c r="F52" s="33">
        <v>9.0</v>
      </c>
      <c r="G52" s="33">
        <v>831.0</v>
      </c>
      <c r="H52" s="34">
        <v>22860.0</v>
      </c>
      <c r="I52" s="31">
        <v>4.0</v>
      </c>
      <c r="J52" s="35" t="s">
        <v>75</v>
      </c>
      <c r="K52" s="35" t="s">
        <v>76</v>
      </c>
      <c r="L52" s="35" t="s">
        <v>75</v>
      </c>
      <c r="M52" s="41">
        <v>224.0</v>
      </c>
      <c r="N52" s="30"/>
      <c r="O52" s="4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</row>
    <row r="53" ht="18.75" customHeight="1">
      <c r="A53" s="31">
        <v>2772.0</v>
      </c>
      <c r="B53" s="32" t="s">
        <v>77</v>
      </c>
      <c r="C53" s="32" t="s">
        <v>78</v>
      </c>
      <c r="D53" s="32" t="s">
        <v>77</v>
      </c>
      <c r="E53" s="32" t="s">
        <v>79</v>
      </c>
      <c r="F53" s="33">
        <v>14.0</v>
      </c>
      <c r="G53" s="33">
        <v>830.0</v>
      </c>
      <c r="H53" s="36">
        <v>30296.0</v>
      </c>
      <c r="I53" s="31">
        <v>6.0</v>
      </c>
      <c r="J53" s="35" t="s">
        <v>75</v>
      </c>
      <c r="K53" s="35" t="s">
        <v>76</v>
      </c>
      <c r="L53" s="35" t="s">
        <v>76</v>
      </c>
      <c r="M53" s="41">
        <v>134.0</v>
      </c>
      <c r="N53" s="30"/>
      <c r="O53" s="4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</row>
    <row r="54" ht="18.75" customHeight="1">
      <c r="A54" s="31">
        <v>2656.0</v>
      </c>
      <c r="B54" s="32" t="s">
        <v>193</v>
      </c>
      <c r="C54" s="32" t="s">
        <v>194</v>
      </c>
      <c r="D54" s="32" t="s">
        <v>193</v>
      </c>
      <c r="E54" s="32" t="s">
        <v>85</v>
      </c>
      <c r="F54" s="33">
        <v>6.0</v>
      </c>
      <c r="G54" s="33">
        <v>829.0</v>
      </c>
      <c r="H54" s="34">
        <v>31058.0</v>
      </c>
      <c r="I54" s="31">
        <v>5.0</v>
      </c>
      <c r="J54" s="35" t="s">
        <v>75</v>
      </c>
      <c r="K54" s="35" t="s">
        <v>76</v>
      </c>
      <c r="L54" s="35" t="s">
        <v>76</v>
      </c>
      <c r="M54" s="41">
        <v>53.0</v>
      </c>
      <c r="N54" s="30"/>
      <c r="O54" s="4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</row>
    <row r="55" ht="18.75" customHeight="1">
      <c r="A55" s="31">
        <v>3022.0</v>
      </c>
      <c r="B55" s="32" t="s">
        <v>83</v>
      </c>
      <c r="C55" s="32" t="s">
        <v>84</v>
      </c>
      <c r="D55" s="32" t="s">
        <v>83</v>
      </c>
      <c r="E55" s="32" t="s">
        <v>85</v>
      </c>
      <c r="F55" s="33">
        <v>4.0</v>
      </c>
      <c r="G55" s="33">
        <v>827.0</v>
      </c>
      <c r="H55" s="36">
        <v>33583.0</v>
      </c>
      <c r="I55" s="31">
        <v>10.0</v>
      </c>
      <c r="J55" s="35" t="s">
        <v>76</v>
      </c>
      <c r="K55" s="35" t="s">
        <v>76</v>
      </c>
      <c r="L55" s="35" t="s">
        <v>75</v>
      </c>
      <c r="M55" s="41">
        <v>93.0</v>
      </c>
      <c r="N55" s="30"/>
      <c r="O55" s="4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</row>
    <row r="56" ht="18.75" customHeight="1">
      <c r="A56" s="31">
        <v>2639.0</v>
      </c>
      <c r="B56" s="32" t="s">
        <v>83</v>
      </c>
      <c r="C56" s="32" t="s">
        <v>84</v>
      </c>
      <c r="D56" s="32" t="s">
        <v>83</v>
      </c>
      <c r="E56" s="32" t="s">
        <v>85</v>
      </c>
      <c r="F56" s="33">
        <v>14.0</v>
      </c>
      <c r="G56" s="33">
        <v>813.0</v>
      </c>
      <c r="H56" s="34">
        <v>22699.0</v>
      </c>
      <c r="I56" s="31">
        <v>10.0</v>
      </c>
      <c r="J56" s="35" t="s">
        <v>76</v>
      </c>
      <c r="K56" s="35" t="s">
        <v>76</v>
      </c>
      <c r="L56" s="35" t="s">
        <v>75</v>
      </c>
      <c r="M56" s="41">
        <v>108.0</v>
      </c>
      <c r="N56" s="30"/>
      <c r="O56" s="4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</row>
    <row r="57" ht="18.75" customHeight="1">
      <c r="A57" s="31">
        <v>3071.0</v>
      </c>
      <c r="B57" s="32" t="s">
        <v>130</v>
      </c>
      <c r="C57" s="32" t="s">
        <v>131</v>
      </c>
      <c r="D57" s="32" t="s">
        <v>130</v>
      </c>
      <c r="E57" s="32" t="s">
        <v>132</v>
      </c>
      <c r="F57" s="33">
        <v>2.0</v>
      </c>
      <c r="G57" s="33">
        <v>809.0</v>
      </c>
      <c r="H57" s="36">
        <v>29934.0</v>
      </c>
      <c r="I57" s="31">
        <v>7.0</v>
      </c>
      <c r="J57" s="35" t="s">
        <v>76</v>
      </c>
      <c r="K57" s="35" t="s">
        <v>76</v>
      </c>
      <c r="L57" s="35" t="s">
        <v>76</v>
      </c>
      <c r="M57" s="41">
        <v>23.0</v>
      </c>
      <c r="N57" s="30"/>
      <c r="O57" s="4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</row>
    <row r="58" ht="18.75" customHeight="1">
      <c r="A58" s="31">
        <v>5296.0</v>
      </c>
      <c r="B58" s="32" t="s">
        <v>106</v>
      </c>
      <c r="C58" s="32" t="s">
        <v>107</v>
      </c>
      <c r="D58" s="32" t="s">
        <v>106</v>
      </c>
      <c r="E58" s="32" t="s">
        <v>105</v>
      </c>
      <c r="F58" s="33">
        <v>15.0</v>
      </c>
      <c r="G58" s="33">
        <v>807.0</v>
      </c>
      <c r="H58" s="34">
        <v>29100.0</v>
      </c>
      <c r="I58" s="31">
        <v>9.0</v>
      </c>
      <c r="J58" s="35" t="s">
        <v>75</v>
      </c>
      <c r="K58" s="35" t="s">
        <v>76</v>
      </c>
      <c r="L58" s="35" t="s">
        <v>75</v>
      </c>
      <c r="M58" s="41">
        <v>101.0</v>
      </c>
      <c r="N58" s="30"/>
      <c r="O58" s="4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</row>
    <row r="59" ht="18.75" customHeight="1">
      <c r="A59" s="31">
        <v>2838.0</v>
      </c>
      <c r="B59" s="32" t="s">
        <v>250</v>
      </c>
      <c r="C59" s="32" t="s">
        <v>251</v>
      </c>
      <c r="D59" s="32" t="s">
        <v>250</v>
      </c>
      <c r="E59" s="32" t="s">
        <v>79</v>
      </c>
      <c r="F59" s="33">
        <v>3.0</v>
      </c>
      <c r="G59" s="33">
        <v>804.0</v>
      </c>
      <c r="H59" s="34">
        <v>25342.0</v>
      </c>
      <c r="I59" s="31">
        <v>3.0</v>
      </c>
      <c r="J59" s="35" t="s">
        <v>76</v>
      </c>
      <c r="K59" s="35" t="s">
        <v>75</v>
      </c>
      <c r="L59" s="35" t="s">
        <v>75</v>
      </c>
      <c r="M59" s="41">
        <v>190.0</v>
      </c>
      <c r="N59" s="30"/>
      <c r="O59" s="4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</row>
    <row r="60" ht="18.75" customHeight="1">
      <c r="A60" s="31">
        <v>3032.0</v>
      </c>
      <c r="B60" s="32" t="s">
        <v>323</v>
      </c>
      <c r="C60" s="32" t="s">
        <v>228</v>
      </c>
      <c r="D60" s="32" t="s">
        <v>389</v>
      </c>
      <c r="E60" s="32" t="s">
        <v>82</v>
      </c>
      <c r="F60" s="33">
        <v>3.0</v>
      </c>
      <c r="G60" s="33">
        <v>803.0</v>
      </c>
      <c r="H60" s="34">
        <v>21965.0</v>
      </c>
      <c r="I60" s="31">
        <v>8.0</v>
      </c>
      <c r="J60" s="35" t="s">
        <v>75</v>
      </c>
      <c r="K60" s="35" t="s">
        <v>75</v>
      </c>
      <c r="L60" s="35" t="s">
        <v>75</v>
      </c>
      <c r="M60" s="41">
        <v>250.0</v>
      </c>
      <c r="N60" s="30"/>
      <c r="O60" s="4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</row>
    <row r="61" ht="18.75" customHeight="1">
      <c r="A61" s="31">
        <v>2681.0</v>
      </c>
      <c r="B61" s="32" t="s">
        <v>137</v>
      </c>
      <c r="C61" s="32" t="s">
        <v>138</v>
      </c>
      <c r="D61" s="32" t="s">
        <v>137</v>
      </c>
      <c r="E61" s="32" t="s">
        <v>139</v>
      </c>
      <c r="F61" s="33">
        <v>2.0</v>
      </c>
      <c r="G61" s="33">
        <v>802.0</v>
      </c>
      <c r="H61" s="34">
        <v>30796.0</v>
      </c>
      <c r="I61" s="31">
        <v>2.0</v>
      </c>
      <c r="J61" s="35" t="s">
        <v>75</v>
      </c>
      <c r="K61" s="35" t="s">
        <v>76</v>
      </c>
      <c r="L61" s="35" t="s">
        <v>76</v>
      </c>
      <c r="M61" s="41">
        <v>26.0</v>
      </c>
      <c r="N61" s="30"/>
      <c r="O61" s="4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</row>
    <row r="62" ht="18.75" customHeight="1">
      <c r="A62" s="31">
        <v>4033.0</v>
      </c>
      <c r="B62" s="32" t="s">
        <v>274</v>
      </c>
      <c r="C62" s="32" t="s">
        <v>178</v>
      </c>
      <c r="D62" s="32" t="s">
        <v>177</v>
      </c>
      <c r="E62" s="32" t="s">
        <v>179</v>
      </c>
      <c r="F62" s="33">
        <v>10.0</v>
      </c>
      <c r="G62" s="33">
        <v>797.0</v>
      </c>
      <c r="H62" s="34">
        <v>24321.0</v>
      </c>
      <c r="I62" s="31">
        <v>5.0</v>
      </c>
      <c r="J62" s="35" t="s">
        <v>76</v>
      </c>
      <c r="K62" s="35" t="s">
        <v>76</v>
      </c>
      <c r="L62" s="35" t="s">
        <v>76</v>
      </c>
      <c r="M62" s="41">
        <v>208.0</v>
      </c>
      <c r="N62" s="30"/>
      <c r="O62" s="4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</row>
    <row r="63" ht="18.75" customHeight="1">
      <c r="A63" s="31">
        <v>4620.0</v>
      </c>
      <c r="B63" s="32" t="s">
        <v>77</v>
      </c>
      <c r="C63" s="32" t="s">
        <v>78</v>
      </c>
      <c r="D63" s="32" t="s">
        <v>77</v>
      </c>
      <c r="E63" s="32" t="s">
        <v>79</v>
      </c>
      <c r="F63" s="33">
        <v>2.0</v>
      </c>
      <c r="G63" s="33">
        <v>794.0</v>
      </c>
      <c r="H63" s="34">
        <v>32773.0</v>
      </c>
      <c r="I63" s="31">
        <v>6.0</v>
      </c>
      <c r="J63" s="35" t="s">
        <v>76</v>
      </c>
      <c r="K63" s="35" t="s">
        <v>75</v>
      </c>
      <c r="L63" s="35" t="s">
        <v>76</v>
      </c>
      <c r="M63" s="41">
        <v>152.0</v>
      </c>
      <c r="N63" s="30"/>
      <c r="O63" s="4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</row>
    <row r="64" ht="18.75" customHeight="1">
      <c r="A64" s="31">
        <v>5477.0</v>
      </c>
      <c r="B64" s="32" t="s">
        <v>167</v>
      </c>
      <c r="C64" s="32" t="s">
        <v>168</v>
      </c>
      <c r="D64" s="32" t="s">
        <v>167</v>
      </c>
      <c r="E64" s="32" t="s">
        <v>105</v>
      </c>
      <c r="F64" s="33">
        <v>4.0</v>
      </c>
      <c r="G64" s="33">
        <v>787.0</v>
      </c>
      <c r="H64" s="34">
        <v>21232.0</v>
      </c>
      <c r="I64" s="31">
        <v>8.0</v>
      </c>
      <c r="J64" s="35" t="s">
        <v>76</v>
      </c>
      <c r="K64" s="35" t="s">
        <v>75</v>
      </c>
      <c r="L64" s="35" t="s">
        <v>76</v>
      </c>
      <c r="M64" s="41">
        <v>40.0</v>
      </c>
      <c r="N64" s="30"/>
      <c r="O64" s="4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</row>
    <row r="65" ht="18.75" customHeight="1">
      <c r="A65" s="31">
        <v>4071.0</v>
      </c>
      <c r="B65" s="32" t="s">
        <v>380</v>
      </c>
      <c r="C65" s="32" t="s">
        <v>297</v>
      </c>
      <c r="D65" s="32" t="s">
        <v>390</v>
      </c>
      <c r="E65" s="32" t="s">
        <v>88</v>
      </c>
      <c r="F65" s="33">
        <v>10.0</v>
      </c>
      <c r="G65" s="33">
        <v>784.0</v>
      </c>
      <c r="H65" s="34">
        <v>32262.0</v>
      </c>
      <c r="I65" s="31">
        <v>9.0</v>
      </c>
      <c r="J65" s="35" t="s">
        <v>75</v>
      </c>
      <c r="K65" s="35" t="s">
        <v>76</v>
      </c>
      <c r="L65" s="35" t="s">
        <v>75</v>
      </c>
      <c r="M65" s="41">
        <v>299.0</v>
      </c>
      <c r="N65" s="30"/>
      <c r="O65" s="4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</row>
    <row r="66" ht="18.75" customHeight="1">
      <c r="A66" s="31">
        <v>3539.0</v>
      </c>
      <c r="B66" s="32" t="s">
        <v>89</v>
      </c>
      <c r="C66" s="32" t="s">
        <v>90</v>
      </c>
      <c r="D66" s="32" t="s">
        <v>89</v>
      </c>
      <c r="E66" s="32" t="s">
        <v>91</v>
      </c>
      <c r="F66" s="33">
        <v>11.0</v>
      </c>
      <c r="G66" s="33">
        <v>780.0</v>
      </c>
      <c r="H66" s="34">
        <v>32922.0</v>
      </c>
      <c r="I66" s="31">
        <v>5.0</v>
      </c>
      <c r="J66" s="35" t="s">
        <v>75</v>
      </c>
      <c r="K66" s="35" t="s">
        <v>76</v>
      </c>
      <c r="L66" s="35" t="s">
        <v>75</v>
      </c>
      <c r="M66" s="41">
        <v>95.0</v>
      </c>
      <c r="N66" s="30"/>
      <c r="O66" s="4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</row>
    <row r="67" ht="18.75" customHeight="1">
      <c r="A67" s="31">
        <v>2482.0</v>
      </c>
      <c r="B67" s="32" t="s">
        <v>77</v>
      </c>
      <c r="C67" s="32" t="s">
        <v>78</v>
      </c>
      <c r="D67" s="32" t="s">
        <v>77</v>
      </c>
      <c r="E67" s="32" t="s">
        <v>79</v>
      </c>
      <c r="F67" s="33">
        <v>9.0</v>
      </c>
      <c r="G67" s="33">
        <v>780.0</v>
      </c>
      <c r="H67" s="34">
        <v>33622.0</v>
      </c>
      <c r="I67" s="31">
        <v>9.0</v>
      </c>
      <c r="J67" s="35" t="s">
        <v>75</v>
      </c>
      <c r="K67" s="35" t="s">
        <v>76</v>
      </c>
      <c r="L67" s="35" t="s">
        <v>76</v>
      </c>
      <c r="M67" s="41">
        <v>159.0</v>
      </c>
      <c r="N67" s="30"/>
      <c r="O67" s="4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</row>
    <row r="68" ht="18.75" customHeight="1">
      <c r="A68" s="31">
        <v>4596.0</v>
      </c>
      <c r="B68" s="32" t="s">
        <v>180</v>
      </c>
      <c r="C68" s="32" t="s">
        <v>181</v>
      </c>
      <c r="D68" s="32" t="s">
        <v>180</v>
      </c>
      <c r="E68" s="32" t="s">
        <v>97</v>
      </c>
      <c r="F68" s="33">
        <v>9.0</v>
      </c>
      <c r="G68" s="33">
        <v>779.0</v>
      </c>
      <c r="H68" s="36">
        <v>20088.0</v>
      </c>
      <c r="I68" s="31">
        <v>4.0</v>
      </c>
      <c r="J68" s="35" t="s">
        <v>75</v>
      </c>
      <c r="K68" s="35" t="s">
        <v>75</v>
      </c>
      <c r="L68" s="35" t="s">
        <v>75</v>
      </c>
      <c r="M68" s="41">
        <v>46.0</v>
      </c>
      <c r="N68" s="30"/>
      <c r="O68" s="4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</row>
    <row r="69" ht="18.75" customHeight="1">
      <c r="A69" s="31">
        <v>5491.0</v>
      </c>
      <c r="B69" s="32" t="s">
        <v>339</v>
      </c>
      <c r="C69" s="32" t="s">
        <v>78</v>
      </c>
      <c r="D69" s="32" t="s">
        <v>77</v>
      </c>
      <c r="E69" s="32" t="s">
        <v>79</v>
      </c>
      <c r="F69" s="33">
        <v>6.0</v>
      </c>
      <c r="G69" s="33">
        <v>779.0</v>
      </c>
      <c r="H69" s="34">
        <v>28354.0</v>
      </c>
      <c r="I69" s="31">
        <v>9.0</v>
      </c>
      <c r="J69" s="35" t="s">
        <v>76</v>
      </c>
      <c r="K69" s="35" t="s">
        <v>76</v>
      </c>
      <c r="L69" s="35" t="s">
        <v>75</v>
      </c>
      <c r="M69" s="41">
        <v>265.0</v>
      </c>
      <c r="N69" s="30"/>
      <c r="O69" s="4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</row>
    <row r="70" ht="18.75" customHeight="1">
      <c r="A70" s="31">
        <v>2514.0</v>
      </c>
      <c r="B70" s="32" t="s">
        <v>257</v>
      </c>
      <c r="C70" s="32" t="s">
        <v>99</v>
      </c>
      <c r="D70" s="32" t="s">
        <v>98</v>
      </c>
      <c r="E70" s="32" t="s">
        <v>100</v>
      </c>
      <c r="F70" s="33">
        <v>3.0</v>
      </c>
      <c r="G70" s="33">
        <v>776.0</v>
      </c>
      <c r="H70" s="34">
        <v>30815.0</v>
      </c>
      <c r="I70" s="31">
        <v>3.0</v>
      </c>
      <c r="J70" s="35" t="s">
        <v>76</v>
      </c>
      <c r="K70" s="35" t="s">
        <v>76</v>
      </c>
      <c r="L70" s="35" t="s">
        <v>76</v>
      </c>
      <c r="M70" s="41">
        <v>194.0</v>
      </c>
      <c r="N70" s="30"/>
      <c r="O70" s="4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</row>
    <row r="71" ht="18.75" customHeight="1">
      <c r="A71" s="31">
        <v>3215.0</v>
      </c>
      <c r="B71" s="32" t="s">
        <v>133</v>
      </c>
      <c r="C71" s="32" t="s">
        <v>134</v>
      </c>
      <c r="D71" s="32" t="s">
        <v>133</v>
      </c>
      <c r="E71" s="32" t="s">
        <v>97</v>
      </c>
      <c r="F71" s="33">
        <v>14.0</v>
      </c>
      <c r="G71" s="33">
        <v>771.0</v>
      </c>
      <c r="H71" s="34">
        <v>29033.0</v>
      </c>
      <c r="I71" s="31">
        <v>2.0</v>
      </c>
      <c r="J71" s="35" t="s">
        <v>75</v>
      </c>
      <c r="K71" s="35" t="s">
        <v>76</v>
      </c>
      <c r="L71" s="35" t="s">
        <v>76</v>
      </c>
      <c r="M71" s="41">
        <v>86.0</v>
      </c>
      <c r="N71" s="30"/>
      <c r="O71" s="4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</row>
    <row r="72" ht="18.75" customHeight="1">
      <c r="A72" s="31">
        <v>4545.0</v>
      </c>
      <c r="B72" s="32" t="s">
        <v>77</v>
      </c>
      <c r="C72" s="32" t="s">
        <v>78</v>
      </c>
      <c r="D72" s="32" t="s">
        <v>77</v>
      </c>
      <c r="E72" s="32" t="s">
        <v>79</v>
      </c>
      <c r="F72" s="33">
        <v>7.0</v>
      </c>
      <c r="G72" s="33">
        <v>758.0</v>
      </c>
      <c r="H72" s="34">
        <v>22441.0</v>
      </c>
      <c r="I72" s="31">
        <v>10.0</v>
      </c>
      <c r="J72" s="35" t="s">
        <v>75</v>
      </c>
      <c r="K72" s="35" t="s">
        <v>75</v>
      </c>
      <c r="L72" s="35" t="s">
        <v>75</v>
      </c>
      <c r="M72" s="41">
        <v>155.0</v>
      </c>
      <c r="N72" s="30"/>
      <c r="O72" s="4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</row>
    <row r="73" ht="18.75" customHeight="1">
      <c r="A73" s="31">
        <v>3700.0</v>
      </c>
      <c r="B73" s="32" t="s">
        <v>350</v>
      </c>
      <c r="C73" s="32" t="s">
        <v>84</v>
      </c>
      <c r="D73" s="32" t="s">
        <v>83</v>
      </c>
      <c r="E73" s="32" t="s">
        <v>85</v>
      </c>
      <c r="F73" s="33">
        <v>5.0</v>
      </c>
      <c r="G73" s="33">
        <v>757.0</v>
      </c>
      <c r="H73" s="36">
        <v>21106.0</v>
      </c>
      <c r="I73" s="31">
        <v>3.0</v>
      </c>
      <c r="J73" s="35" t="s">
        <v>75</v>
      </c>
      <c r="K73" s="35" t="s">
        <v>76</v>
      </c>
      <c r="L73" s="35" t="s">
        <v>75</v>
      </c>
      <c r="M73" s="41">
        <v>274.0</v>
      </c>
      <c r="N73" s="30"/>
      <c r="O73" s="4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</row>
    <row r="74" ht="18.75" customHeight="1">
      <c r="A74" s="31">
        <v>3372.0</v>
      </c>
      <c r="B74" s="32" t="s">
        <v>329</v>
      </c>
      <c r="C74" s="32" t="s">
        <v>87</v>
      </c>
      <c r="D74" s="32" t="s">
        <v>86</v>
      </c>
      <c r="E74" s="32" t="s">
        <v>88</v>
      </c>
      <c r="F74" s="33">
        <v>5.0</v>
      </c>
      <c r="G74" s="33">
        <v>749.0</v>
      </c>
      <c r="H74" s="34">
        <v>31385.0</v>
      </c>
      <c r="I74" s="31">
        <v>9.0</v>
      </c>
      <c r="J74" s="35" t="s">
        <v>76</v>
      </c>
      <c r="K74" s="35" t="s">
        <v>76</v>
      </c>
      <c r="L74" s="35" t="s">
        <v>76</v>
      </c>
      <c r="M74" s="41">
        <v>256.0</v>
      </c>
      <c r="N74" s="30"/>
      <c r="O74" s="4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</row>
    <row r="75" ht="18.75" customHeight="1">
      <c r="A75" s="31">
        <v>5079.0</v>
      </c>
      <c r="B75" s="32" t="s">
        <v>238</v>
      </c>
      <c r="C75" s="32" t="s">
        <v>145</v>
      </c>
      <c r="D75" s="32" t="s">
        <v>144</v>
      </c>
      <c r="E75" s="32" t="s">
        <v>82</v>
      </c>
      <c r="F75" s="33">
        <v>5.0</v>
      </c>
      <c r="G75" s="33">
        <v>748.0</v>
      </c>
      <c r="H75" s="34">
        <v>22174.0</v>
      </c>
      <c r="I75" s="31">
        <v>8.0</v>
      </c>
      <c r="J75" s="35" t="s">
        <v>76</v>
      </c>
      <c r="K75" s="35" t="s">
        <v>76</v>
      </c>
      <c r="L75" s="35" t="s">
        <v>76</v>
      </c>
      <c r="M75" s="41">
        <v>178.0</v>
      </c>
      <c r="N75" s="30"/>
      <c r="O75" s="4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</row>
    <row r="76" ht="18.75" customHeight="1">
      <c r="A76" s="31">
        <v>2639.0</v>
      </c>
      <c r="B76" s="32" t="s">
        <v>364</v>
      </c>
      <c r="C76" s="32" t="s">
        <v>158</v>
      </c>
      <c r="D76" s="32" t="s">
        <v>157</v>
      </c>
      <c r="E76" s="32" t="s">
        <v>74</v>
      </c>
      <c r="F76" s="33">
        <v>8.0</v>
      </c>
      <c r="G76" s="33">
        <v>738.0</v>
      </c>
      <c r="H76" s="36">
        <v>26625.0</v>
      </c>
      <c r="I76" s="31">
        <v>10.0</v>
      </c>
      <c r="J76" s="35" t="s">
        <v>76</v>
      </c>
      <c r="K76" s="35" t="s">
        <v>76</v>
      </c>
      <c r="L76" s="35" t="s">
        <v>75</v>
      </c>
      <c r="M76" s="41">
        <v>286.0</v>
      </c>
      <c r="N76" s="30"/>
      <c r="O76" s="4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</row>
    <row r="77" ht="18.75" customHeight="1">
      <c r="A77" s="31">
        <v>3552.0</v>
      </c>
      <c r="B77" s="32" t="s">
        <v>77</v>
      </c>
      <c r="C77" s="32" t="s">
        <v>78</v>
      </c>
      <c r="D77" s="32" t="s">
        <v>77</v>
      </c>
      <c r="E77" s="32" t="s">
        <v>79</v>
      </c>
      <c r="F77" s="33">
        <v>11.0</v>
      </c>
      <c r="G77" s="33">
        <v>736.0</v>
      </c>
      <c r="H77" s="34">
        <v>30082.0</v>
      </c>
      <c r="I77" s="31">
        <v>10.0</v>
      </c>
      <c r="J77" s="35" t="s">
        <v>76</v>
      </c>
      <c r="K77" s="35" t="s">
        <v>76</v>
      </c>
      <c r="L77" s="35" t="s">
        <v>75</v>
      </c>
      <c r="M77" s="41">
        <v>157.0</v>
      </c>
      <c r="N77" s="30"/>
      <c r="O77" s="4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</row>
    <row r="78" ht="18.75" customHeight="1">
      <c r="A78" s="31">
        <v>2851.0</v>
      </c>
      <c r="B78" s="32" t="s">
        <v>317</v>
      </c>
      <c r="C78" s="32" t="s">
        <v>206</v>
      </c>
      <c r="D78" s="32" t="s">
        <v>205</v>
      </c>
      <c r="E78" s="32" t="s">
        <v>79</v>
      </c>
      <c r="F78" s="33">
        <v>12.0</v>
      </c>
      <c r="G78" s="33">
        <v>735.0</v>
      </c>
      <c r="H78" s="34">
        <v>34216.0</v>
      </c>
      <c r="I78" s="31">
        <v>4.0</v>
      </c>
      <c r="J78" s="35" t="s">
        <v>76</v>
      </c>
      <c r="K78" s="35" t="s">
        <v>76</v>
      </c>
      <c r="L78" s="35" t="s">
        <v>76</v>
      </c>
      <c r="M78" s="41">
        <v>244.0</v>
      </c>
      <c r="N78" s="30"/>
      <c r="O78" s="4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</row>
    <row r="79" ht="18.75" customHeight="1">
      <c r="A79" s="31">
        <v>3113.0</v>
      </c>
      <c r="B79" s="32" t="s">
        <v>83</v>
      </c>
      <c r="C79" s="32" t="s">
        <v>84</v>
      </c>
      <c r="D79" s="32" t="s">
        <v>83</v>
      </c>
      <c r="E79" s="32" t="s">
        <v>85</v>
      </c>
      <c r="F79" s="33">
        <v>2.0</v>
      </c>
      <c r="G79" s="33">
        <v>732.0</v>
      </c>
      <c r="H79" s="34">
        <v>25074.0</v>
      </c>
      <c r="I79" s="31">
        <v>3.0</v>
      </c>
      <c r="J79" s="35" t="s">
        <v>75</v>
      </c>
      <c r="K79" s="35" t="s">
        <v>75</v>
      </c>
      <c r="L79" s="35" t="s">
        <v>76</v>
      </c>
      <c r="M79" s="41">
        <v>128.0</v>
      </c>
      <c r="N79" s="30"/>
      <c r="O79" s="4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</row>
    <row r="80" ht="18.75" customHeight="1">
      <c r="A80" s="31">
        <v>4705.0</v>
      </c>
      <c r="B80" s="32" t="s">
        <v>322</v>
      </c>
      <c r="C80" s="32" t="s">
        <v>99</v>
      </c>
      <c r="D80" s="32" t="s">
        <v>98</v>
      </c>
      <c r="E80" s="32" t="s">
        <v>100</v>
      </c>
      <c r="F80" s="33">
        <v>1.0</v>
      </c>
      <c r="G80" s="33">
        <v>718.0</v>
      </c>
      <c r="H80" s="34">
        <v>20732.0</v>
      </c>
      <c r="I80" s="31">
        <v>8.0</v>
      </c>
      <c r="J80" s="35" t="s">
        <v>75</v>
      </c>
      <c r="K80" s="35" t="s">
        <v>75</v>
      </c>
      <c r="L80" s="35" t="s">
        <v>75</v>
      </c>
      <c r="M80" s="41">
        <v>249.0</v>
      </c>
      <c r="N80" s="30"/>
      <c r="O80" s="4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</row>
    <row r="81" ht="18.75" customHeight="1">
      <c r="A81" s="31">
        <v>5049.0</v>
      </c>
      <c r="B81" s="32" t="s">
        <v>207</v>
      </c>
      <c r="C81" s="32" t="s">
        <v>208</v>
      </c>
      <c r="D81" s="32" t="s">
        <v>207</v>
      </c>
      <c r="E81" s="32" t="s">
        <v>97</v>
      </c>
      <c r="F81" s="33">
        <v>4.0</v>
      </c>
      <c r="G81" s="33">
        <v>714.0</v>
      </c>
      <c r="H81" s="36">
        <v>33566.0</v>
      </c>
      <c r="I81" s="31">
        <v>8.0</v>
      </c>
      <c r="J81" s="35" t="s">
        <v>76</v>
      </c>
      <c r="K81" s="35" t="s">
        <v>75</v>
      </c>
      <c r="L81" s="35" t="s">
        <v>76</v>
      </c>
      <c r="M81" s="41">
        <v>61.0</v>
      </c>
      <c r="N81" s="30"/>
      <c r="O81" s="4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</row>
    <row r="82" ht="18.75" customHeight="1">
      <c r="A82" s="31">
        <v>3116.0</v>
      </c>
      <c r="B82" s="32" t="s">
        <v>92</v>
      </c>
      <c r="C82" s="32" t="s">
        <v>93</v>
      </c>
      <c r="D82" s="32" t="s">
        <v>92</v>
      </c>
      <c r="E82" s="32" t="s">
        <v>94</v>
      </c>
      <c r="F82" s="33">
        <v>5.0</v>
      </c>
      <c r="G82" s="33">
        <v>713.0</v>
      </c>
      <c r="H82" s="34">
        <v>29009.0</v>
      </c>
      <c r="I82" s="31">
        <v>6.0</v>
      </c>
      <c r="J82" s="35" t="s">
        <v>75</v>
      </c>
      <c r="K82" s="35" t="s">
        <v>75</v>
      </c>
      <c r="L82" s="35" t="s">
        <v>76</v>
      </c>
      <c r="M82" s="41">
        <v>96.0</v>
      </c>
      <c r="N82" s="30"/>
      <c r="O82" s="4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</row>
    <row r="83" ht="18.75" customHeight="1">
      <c r="A83" s="31">
        <v>4597.0</v>
      </c>
      <c r="B83" s="32" t="s">
        <v>245</v>
      </c>
      <c r="C83" s="32" t="s">
        <v>99</v>
      </c>
      <c r="D83" s="32" t="s">
        <v>98</v>
      </c>
      <c r="E83" s="32" t="s">
        <v>100</v>
      </c>
      <c r="F83" s="33">
        <v>8.0</v>
      </c>
      <c r="G83" s="33">
        <v>713.0</v>
      </c>
      <c r="H83" s="34">
        <v>21610.0</v>
      </c>
      <c r="I83" s="31">
        <v>10.0</v>
      </c>
      <c r="J83" s="35" t="s">
        <v>76</v>
      </c>
      <c r="K83" s="35" t="s">
        <v>75</v>
      </c>
      <c r="L83" s="35" t="s">
        <v>76</v>
      </c>
      <c r="M83" s="41">
        <v>185.0</v>
      </c>
      <c r="N83" s="30"/>
      <c r="O83" s="4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</row>
    <row r="84" ht="18.75" customHeight="1">
      <c r="A84" s="31">
        <v>2572.0</v>
      </c>
      <c r="B84" s="32" t="s">
        <v>319</v>
      </c>
      <c r="C84" s="32" t="s">
        <v>224</v>
      </c>
      <c r="D84" s="32" t="s">
        <v>388</v>
      </c>
      <c r="E84" s="32" t="s">
        <v>79</v>
      </c>
      <c r="F84" s="33">
        <v>5.0</v>
      </c>
      <c r="G84" s="33">
        <v>713.0</v>
      </c>
      <c r="H84" s="34">
        <v>26495.0</v>
      </c>
      <c r="I84" s="31">
        <v>3.0</v>
      </c>
      <c r="J84" s="35" t="s">
        <v>75</v>
      </c>
      <c r="K84" s="35" t="s">
        <v>75</v>
      </c>
      <c r="L84" s="35" t="s">
        <v>76</v>
      </c>
      <c r="M84" s="41">
        <v>246.0</v>
      </c>
      <c r="N84" s="30"/>
      <c r="O84" s="4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</row>
    <row r="85" ht="18.75" customHeight="1">
      <c r="A85" s="31">
        <v>5054.0</v>
      </c>
      <c r="B85" s="32" t="s">
        <v>77</v>
      </c>
      <c r="C85" s="32" t="s">
        <v>78</v>
      </c>
      <c r="D85" s="32" t="s">
        <v>77</v>
      </c>
      <c r="E85" s="32" t="s">
        <v>79</v>
      </c>
      <c r="F85" s="33">
        <v>4.0</v>
      </c>
      <c r="G85" s="33">
        <v>712.0</v>
      </c>
      <c r="H85" s="34">
        <v>23755.0</v>
      </c>
      <c r="I85" s="31">
        <v>6.0</v>
      </c>
      <c r="J85" s="35" t="s">
        <v>76</v>
      </c>
      <c r="K85" s="35" t="s">
        <v>75</v>
      </c>
      <c r="L85" s="35" t="s">
        <v>75</v>
      </c>
      <c r="M85" s="41">
        <v>64.0</v>
      </c>
      <c r="N85" s="30"/>
      <c r="O85" s="4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</row>
    <row r="86" ht="18.75" customHeight="1">
      <c r="A86" s="31">
        <v>2395.0</v>
      </c>
      <c r="B86" s="32" t="s">
        <v>110</v>
      </c>
      <c r="C86" s="32" t="s">
        <v>111</v>
      </c>
      <c r="D86" s="32" t="s">
        <v>110</v>
      </c>
      <c r="E86" s="32" t="s">
        <v>105</v>
      </c>
      <c r="F86" s="33">
        <v>12.0</v>
      </c>
      <c r="G86" s="33">
        <v>709.0</v>
      </c>
      <c r="H86" s="34">
        <v>21225.0</v>
      </c>
      <c r="I86" s="31">
        <v>7.0</v>
      </c>
      <c r="J86" s="35" t="s">
        <v>76</v>
      </c>
      <c r="K86" s="35" t="s">
        <v>75</v>
      </c>
      <c r="L86" s="35" t="s">
        <v>76</v>
      </c>
      <c r="M86" s="41">
        <v>103.0</v>
      </c>
      <c r="N86" s="30"/>
      <c r="O86" s="4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</row>
    <row r="87" ht="18.75" customHeight="1">
      <c r="A87" s="31">
        <v>3071.0</v>
      </c>
      <c r="B87" s="32" t="s">
        <v>77</v>
      </c>
      <c r="C87" s="32" t="s">
        <v>78</v>
      </c>
      <c r="D87" s="32" t="s">
        <v>77</v>
      </c>
      <c r="E87" s="32" t="s">
        <v>79</v>
      </c>
      <c r="F87" s="33">
        <v>4.0</v>
      </c>
      <c r="G87" s="33">
        <v>706.0</v>
      </c>
      <c r="H87" s="34">
        <v>20219.0</v>
      </c>
      <c r="I87" s="31">
        <v>8.0</v>
      </c>
      <c r="J87" s="35" t="s">
        <v>76</v>
      </c>
      <c r="K87" s="35" t="s">
        <v>75</v>
      </c>
      <c r="L87" s="35" t="s">
        <v>76</v>
      </c>
      <c r="M87" s="41">
        <v>138.0</v>
      </c>
      <c r="N87" s="30"/>
      <c r="O87" s="4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</row>
    <row r="88" ht="18.75" customHeight="1">
      <c r="A88" s="31">
        <v>5160.0</v>
      </c>
      <c r="B88" s="32" t="s">
        <v>187</v>
      </c>
      <c r="C88" s="32" t="s">
        <v>188</v>
      </c>
      <c r="D88" s="32" t="s">
        <v>187</v>
      </c>
      <c r="E88" s="32" t="s">
        <v>100</v>
      </c>
      <c r="F88" s="33">
        <v>5.0</v>
      </c>
      <c r="G88" s="33">
        <v>705.0</v>
      </c>
      <c r="H88" s="34">
        <v>34359.0</v>
      </c>
      <c r="I88" s="31">
        <v>4.0</v>
      </c>
      <c r="J88" s="35" t="s">
        <v>76</v>
      </c>
      <c r="K88" s="35" t="s">
        <v>76</v>
      </c>
      <c r="L88" s="35" t="s">
        <v>76</v>
      </c>
      <c r="M88" s="41">
        <v>50.0</v>
      </c>
      <c r="N88" s="30"/>
      <c r="O88" s="4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</row>
    <row r="89" ht="18.75" customHeight="1">
      <c r="A89" s="31">
        <v>4660.0</v>
      </c>
      <c r="B89" s="32" t="s">
        <v>306</v>
      </c>
      <c r="C89" s="32" t="s">
        <v>73</v>
      </c>
      <c r="D89" s="32" t="s">
        <v>72</v>
      </c>
      <c r="E89" s="32" t="s">
        <v>74</v>
      </c>
      <c r="F89" s="33">
        <v>4.0</v>
      </c>
      <c r="G89" s="33">
        <v>705.0</v>
      </c>
      <c r="H89" s="36">
        <v>28812.0</v>
      </c>
      <c r="I89" s="31">
        <v>2.0</v>
      </c>
      <c r="J89" s="35" t="s">
        <v>75</v>
      </c>
      <c r="K89" s="35" t="s">
        <v>75</v>
      </c>
      <c r="L89" s="35" t="s">
        <v>76</v>
      </c>
      <c r="M89" s="41">
        <v>234.0</v>
      </c>
      <c r="N89" s="30"/>
      <c r="O89" s="4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</row>
    <row r="90" ht="18.75" customHeight="1">
      <c r="A90" s="31">
        <v>2833.0</v>
      </c>
      <c r="B90" s="32" t="s">
        <v>72</v>
      </c>
      <c r="C90" s="32" t="s">
        <v>73</v>
      </c>
      <c r="D90" s="32" t="s">
        <v>72</v>
      </c>
      <c r="E90" s="32" t="s">
        <v>74</v>
      </c>
      <c r="F90" s="33">
        <v>13.0</v>
      </c>
      <c r="G90" s="33">
        <v>701.0</v>
      </c>
      <c r="H90" s="36">
        <v>33199.0</v>
      </c>
      <c r="I90" s="31">
        <v>10.0</v>
      </c>
      <c r="J90" s="35" t="s">
        <v>75</v>
      </c>
      <c r="K90" s="35" t="s">
        <v>76</v>
      </c>
      <c r="L90" s="35" t="s">
        <v>76</v>
      </c>
      <c r="M90" s="41">
        <v>113.0</v>
      </c>
      <c r="N90" s="30"/>
      <c r="O90" s="4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</row>
    <row r="91" ht="18.75" customHeight="1">
      <c r="A91" s="31">
        <v>5531.0</v>
      </c>
      <c r="B91" s="32" t="s">
        <v>333</v>
      </c>
      <c r="C91" s="32" t="s">
        <v>334</v>
      </c>
      <c r="D91" s="32" t="s">
        <v>333</v>
      </c>
      <c r="E91" s="32" t="s">
        <v>179</v>
      </c>
      <c r="F91" s="33">
        <v>1.0</v>
      </c>
      <c r="G91" s="33">
        <v>699.0</v>
      </c>
      <c r="H91" s="36">
        <v>27016.0</v>
      </c>
      <c r="I91" s="31">
        <v>6.0</v>
      </c>
      <c r="J91" s="35" t="s">
        <v>76</v>
      </c>
      <c r="K91" s="35" t="s">
        <v>75</v>
      </c>
      <c r="L91" s="35" t="s">
        <v>75</v>
      </c>
      <c r="M91" s="41">
        <v>260.0</v>
      </c>
      <c r="N91" s="30"/>
      <c r="O91" s="4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</row>
    <row r="92" ht="18.75" customHeight="1">
      <c r="A92" s="31">
        <v>3077.0</v>
      </c>
      <c r="B92" s="32" t="s">
        <v>123</v>
      </c>
      <c r="C92" s="32" t="s">
        <v>124</v>
      </c>
      <c r="D92" s="32" t="s">
        <v>123</v>
      </c>
      <c r="E92" s="32" t="s">
        <v>125</v>
      </c>
      <c r="F92" s="33">
        <v>1.0</v>
      </c>
      <c r="G92" s="33">
        <v>692.0</v>
      </c>
      <c r="H92" s="34">
        <v>29621.0</v>
      </c>
      <c r="I92" s="31">
        <v>9.0</v>
      </c>
      <c r="J92" s="35" t="s">
        <v>75</v>
      </c>
      <c r="K92" s="35" t="s">
        <v>75</v>
      </c>
      <c r="L92" s="35" t="s">
        <v>75</v>
      </c>
      <c r="M92" s="41">
        <v>82.0</v>
      </c>
      <c r="N92" s="30"/>
      <c r="O92" s="4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</row>
    <row r="93" ht="18.75" customHeight="1">
      <c r="A93" s="31">
        <v>2411.0</v>
      </c>
      <c r="B93" s="32" t="s">
        <v>72</v>
      </c>
      <c r="C93" s="32" t="s">
        <v>73</v>
      </c>
      <c r="D93" s="32" t="s">
        <v>72</v>
      </c>
      <c r="E93" s="32" t="s">
        <v>74</v>
      </c>
      <c r="F93" s="33">
        <v>2.0</v>
      </c>
      <c r="G93" s="33">
        <v>689.0</v>
      </c>
      <c r="H93" s="34">
        <v>20850.0</v>
      </c>
      <c r="I93" s="31">
        <v>7.0</v>
      </c>
      <c r="J93" s="35" t="s">
        <v>75</v>
      </c>
      <c r="K93" s="35" t="s">
        <v>75</v>
      </c>
      <c r="L93" s="35" t="s">
        <v>75</v>
      </c>
      <c r="M93" s="41">
        <v>137.0</v>
      </c>
      <c r="N93" s="30"/>
      <c r="O93" s="4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</row>
    <row r="94" ht="18.75" customHeight="1">
      <c r="A94" s="31">
        <v>3604.0</v>
      </c>
      <c r="B94" s="32" t="s">
        <v>310</v>
      </c>
      <c r="C94" s="32" t="s">
        <v>73</v>
      </c>
      <c r="D94" s="32" t="s">
        <v>72</v>
      </c>
      <c r="E94" s="32" t="s">
        <v>74</v>
      </c>
      <c r="F94" s="33">
        <v>8.0</v>
      </c>
      <c r="G94" s="33">
        <v>684.0</v>
      </c>
      <c r="H94" s="34">
        <v>34731.0</v>
      </c>
      <c r="I94" s="31">
        <v>3.0</v>
      </c>
      <c r="J94" s="35" t="s">
        <v>75</v>
      </c>
      <c r="K94" s="35" t="s">
        <v>76</v>
      </c>
      <c r="L94" s="35" t="s">
        <v>76</v>
      </c>
      <c r="M94" s="41">
        <v>238.0</v>
      </c>
      <c r="N94" s="30"/>
      <c r="O94" s="4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</row>
    <row r="95" ht="18.75" customHeight="1">
      <c r="A95" s="31">
        <v>4864.0</v>
      </c>
      <c r="B95" s="32" t="s">
        <v>278</v>
      </c>
      <c r="C95" s="32" t="s">
        <v>99</v>
      </c>
      <c r="D95" s="32" t="s">
        <v>98</v>
      </c>
      <c r="E95" s="32" t="s">
        <v>100</v>
      </c>
      <c r="F95" s="33">
        <v>9.0</v>
      </c>
      <c r="G95" s="33">
        <v>682.0</v>
      </c>
      <c r="H95" s="34">
        <v>31551.0</v>
      </c>
      <c r="I95" s="31">
        <v>4.0</v>
      </c>
      <c r="J95" s="35" t="s">
        <v>75</v>
      </c>
      <c r="K95" s="35" t="s">
        <v>75</v>
      </c>
      <c r="L95" s="35" t="s">
        <v>75</v>
      </c>
      <c r="M95" s="41">
        <v>211.0</v>
      </c>
      <c r="N95" s="30"/>
      <c r="O95" s="4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</row>
    <row r="96" ht="18.75" customHeight="1">
      <c r="A96" s="31">
        <v>4007.0</v>
      </c>
      <c r="B96" s="32" t="s">
        <v>265</v>
      </c>
      <c r="C96" s="32" t="s">
        <v>73</v>
      </c>
      <c r="D96" s="32" t="s">
        <v>72</v>
      </c>
      <c r="E96" s="32" t="s">
        <v>74</v>
      </c>
      <c r="F96" s="33">
        <v>4.0</v>
      </c>
      <c r="G96" s="33">
        <v>680.0</v>
      </c>
      <c r="H96" s="34">
        <v>34218.0</v>
      </c>
      <c r="I96" s="31">
        <v>1.0</v>
      </c>
      <c r="J96" s="35" t="s">
        <v>76</v>
      </c>
      <c r="K96" s="35" t="s">
        <v>75</v>
      </c>
      <c r="L96" s="35" t="s">
        <v>75</v>
      </c>
      <c r="M96" s="41">
        <v>201.0</v>
      </c>
      <c r="N96" s="30"/>
      <c r="O96" s="4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</row>
    <row r="97" ht="18.75" customHeight="1">
      <c r="A97" s="31">
        <v>3488.0</v>
      </c>
      <c r="B97" s="32" t="s">
        <v>363</v>
      </c>
      <c r="C97" s="32" t="s">
        <v>305</v>
      </c>
      <c r="D97" s="32" t="s">
        <v>391</v>
      </c>
      <c r="E97" s="32" t="s">
        <v>125</v>
      </c>
      <c r="F97" s="33">
        <v>11.0</v>
      </c>
      <c r="G97" s="33">
        <v>677.0</v>
      </c>
      <c r="H97" s="34">
        <v>27366.0</v>
      </c>
      <c r="I97" s="31">
        <v>8.0</v>
      </c>
      <c r="J97" s="35" t="s">
        <v>75</v>
      </c>
      <c r="K97" s="35" t="s">
        <v>75</v>
      </c>
      <c r="L97" s="35" t="s">
        <v>75</v>
      </c>
      <c r="M97" s="41">
        <v>285.0</v>
      </c>
      <c r="N97" s="30"/>
      <c r="O97" s="4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</row>
    <row r="98" ht="18.75" customHeight="1">
      <c r="A98" s="31">
        <v>5514.0</v>
      </c>
      <c r="B98" s="32" t="s">
        <v>281</v>
      </c>
      <c r="C98" s="32" t="s">
        <v>81</v>
      </c>
      <c r="D98" s="32" t="s">
        <v>80</v>
      </c>
      <c r="E98" s="32" t="s">
        <v>82</v>
      </c>
      <c r="F98" s="33">
        <v>10.0</v>
      </c>
      <c r="G98" s="33">
        <v>671.0</v>
      </c>
      <c r="H98" s="34">
        <v>21824.0</v>
      </c>
      <c r="I98" s="31">
        <v>2.0</v>
      </c>
      <c r="J98" s="35" t="s">
        <v>75</v>
      </c>
      <c r="K98" s="35" t="s">
        <v>76</v>
      </c>
      <c r="L98" s="35" t="s">
        <v>76</v>
      </c>
      <c r="M98" s="41">
        <v>214.0</v>
      </c>
      <c r="N98" s="30"/>
      <c r="O98" s="4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</row>
    <row r="99" ht="18.75" customHeight="1">
      <c r="A99" s="31">
        <v>3363.0</v>
      </c>
      <c r="B99" s="32" t="s">
        <v>128</v>
      </c>
      <c r="C99" s="32" t="s">
        <v>129</v>
      </c>
      <c r="D99" s="32" t="s">
        <v>128</v>
      </c>
      <c r="E99" s="32" t="s">
        <v>94</v>
      </c>
      <c r="F99" s="33">
        <v>7.0</v>
      </c>
      <c r="G99" s="33">
        <v>670.0</v>
      </c>
      <c r="H99" s="34">
        <v>24941.0</v>
      </c>
      <c r="I99" s="31">
        <v>8.0</v>
      </c>
      <c r="J99" s="35" t="s">
        <v>76</v>
      </c>
      <c r="K99" s="35" t="s">
        <v>76</v>
      </c>
      <c r="L99" s="35" t="s">
        <v>76</v>
      </c>
      <c r="M99" s="41">
        <v>84.0</v>
      </c>
      <c r="N99" s="30"/>
      <c r="O99" s="4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</row>
    <row r="100" ht="18.75" customHeight="1">
      <c r="A100" s="31">
        <v>3511.0</v>
      </c>
      <c r="B100" s="32" t="s">
        <v>225</v>
      </c>
      <c r="C100" s="32" t="s">
        <v>226</v>
      </c>
      <c r="D100" s="32" t="s">
        <v>225</v>
      </c>
      <c r="E100" s="32" t="s">
        <v>114</v>
      </c>
      <c r="F100" s="33">
        <v>3.0</v>
      </c>
      <c r="G100" s="33">
        <v>670.0</v>
      </c>
      <c r="H100" s="34">
        <v>27041.0</v>
      </c>
      <c r="I100" s="31">
        <v>2.0</v>
      </c>
      <c r="J100" s="35" t="s">
        <v>76</v>
      </c>
      <c r="K100" s="35" t="s">
        <v>75</v>
      </c>
      <c r="L100" s="35" t="s">
        <v>75</v>
      </c>
      <c r="M100" s="41">
        <v>171.0</v>
      </c>
      <c r="N100" s="30"/>
      <c r="O100" s="4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</row>
    <row r="101" ht="18.75" customHeight="1">
      <c r="A101" s="31">
        <v>2330.0</v>
      </c>
      <c r="B101" s="32" t="s">
        <v>356</v>
      </c>
      <c r="C101" s="32" t="s">
        <v>143</v>
      </c>
      <c r="D101" s="32" t="s">
        <v>142</v>
      </c>
      <c r="E101" s="32" t="s">
        <v>94</v>
      </c>
      <c r="F101" s="33">
        <v>9.0</v>
      </c>
      <c r="G101" s="33">
        <v>669.0</v>
      </c>
      <c r="H101" s="34">
        <v>27006.0</v>
      </c>
      <c r="I101" s="31">
        <v>4.0</v>
      </c>
      <c r="J101" s="35" t="s">
        <v>76</v>
      </c>
      <c r="K101" s="35" t="s">
        <v>75</v>
      </c>
      <c r="L101" s="35" t="s">
        <v>75</v>
      </c>
      <c r="M101" s="41">
        <v>280.0</v>
      </c>
      <c r="N101" s="30"/>
      <c r="O101" s="4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</row>
    <row r="102" ht="18.75" customHeight="1">
      <c r="A102" s="31">
        <v>3620.0</v>
      </c>
      <c r="B102" s="32" t="s">
        <v>77</v>
      </c>
      <c r="C102" s="32" t="s">
        <v>78</v>
      </c>
      <c r="D102" s="32" t="s">
        <v>77</v>
      </c>
      <c r="E102" s="32" t="s">
        <v>79</v>
      </c>
      <c r="F102" s="33">
        <v>1.0</v>
      </c>
      <c r="G102" s="33">
        <v>665.0</v>
      </c>
      <c r="H102" s="34">
        <v>30426.0</v>
      </c>
      <c r="I102" s="31">
        <v>3.0</v>
      </c>
      <c r="J102" s="35" t="s">
        <v>75</v>
      </c>
      <c r="K102" s="35" t="s">
        <v>76</v>
      </c>
      <c r="L102" s="35" t="s">
        <v>75</v>
      </c>
      <c r="M102" s="41">
        <v>158.0</v>
      </c>
      <c r="N102" s="30"/>
      <c r="O102" s="4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</row>
    <row r="103" ht="18.75" customHeight="1">
      <c r="A103" s="31">
        <v>3579.0</v>
      </c>
      <c r="B103" s="32" t="s">
        <v>77</v>
      </c>
      <c r="C103" s="32" t="s">
        <v>78</v>
      </c>
      <c r="D103" s="32" t="s">
        <v>77</v>
      </c>
      <c r="E103" s="32" t="s">
        <v>79</v>
      </c>
      <c r="F103" s="33">
        <v>1.0</v>
      </c>
      <c r="G103" s="33">
        <v>656.0</v>
      </c>
      <c r="H103" s="34">
        <v>27579.0</v>
      </c>
      <c r="I103" s="31">
        <v>10.0</v>
      </c>
      <c r="J103" s="35" t="s">
        <v>76</v>
      </c>
      <c r="K103" s="35" t="s">
        <v>76</v>
      </c>
      <c r="L103" s="35" t="s">
        <v>76</v>
      </c>
      <c r="M103" s="41">
        <v>156.0</v>
      </c>
      <c r="N103" s="30"/>
      <c r="O103" s="4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</row>
    <row r="104" ht="18.75" customHeight="1">
      <c r="A104" s="31">
        <v>4661.0</v>
      </c>
      <c r="B104" s="32" t="s">
        <v>155</v>
      </c>
      <c r="C104" s="32" t="s">
        <v>156</v>
      </c>
      <c r="D104" s="32" t="s">
        <v>387</v>
      </c>
      <c r="E104" s="32" t="s">
        <v>79</v>
      </c>
      <c r="F104" s="33">
        <v>2.0</v>
      </c>
      <c r="G104" s="33">
        <v>655.0</v>
      </c>
      <c r="H104" s="34">
        <v>30731.0</v>
      </c>
      <c r="I104" s="31">
        <v>7.0</v>
      </c>
      <c r="J104" s="35" t="s">
        <v>76</v>
      </c>
      <c r="K104" s="35" t="s">
        <v>75</v>
      </c>
      <c r="L104" s="35" t="s">
        <v>75</v>
      </c>
      <c r="M104" s="41">
        <v>34.0</v>
      </c>
      <c r="N104" s="30"/>
      <c r="O104" s="4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0"/>
    </row>
    <row r="105" ht="18.75" customHeight="1">
      <c r="A105" s="31">
        <v>2420.0</v>
      </c>
      <c r="B105" s="32" t="s">
        <v>77</v>
      </c>
      <c r="C105" s="32" t="s">
        <v>78</v>
      </c>
      <c r="D105" s="32" t="s">
        <v>77</v>
      </c>
      <c r="E105" s="32" t="s">
        <v>79</v>
      </c>
      <c r="F105" s="33">
        <v>3.0</v>
      </c>
      <c r="G105" s="33">
        <v>655.0</v>
      </c>
      <c r="H105" s="34">
        <v>24084.0</v>
      </c>
      <c r="I105" s="31">
        <v>1.0</v>
      </c>
      <c r="J105" s="35" t="s">
        <v>76</v>
      </c>
      <c r="K105" s="35" t="s">
        <v>75</v>
      </c>
      <c r="L105" s="35" t="s">
        <v>75</v>
      </c>
      <c r="M105" s="41">
        <v>153.0</v>
      </c>
      <c r="N105" s="30"/>
      <c r="O105" s="4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</row>
    <row r="106" ht="18.75" customHeight="1">
      <c r="A106" s="31">
        <v>3184.0</v>
      </c>
      <c r="B106" s="32" t="s">
        <v>259</v>
      </c>
      <c r="C106" s="32" t="s">
        <v>78</v>
      </c>
      <c r="D106" s="32" t="s">
        <v>77</v>
      </c>
      <c r="E106" s="32" t="s">
        <v>79</v>
      </c>
      <c r="F106" s="33">
        <v>13.0</v>
      </c>
      <c r="G106" s="33">
        <v>655.0</v>
      </c>
      <c r="H106" s="36">
        <v>24041.0</v>
      </c>
      <c r="I106" s="31">
        <v>6.0</v>
      </c>
      <c r="J106" s="35" t="s">
        <v>76</v>
      </c>
      <c r="K106" s="35" t="s">
        <v>76</v>
      </c>
      <c r="L106" s="35" t="s">
        <v>75</v>
      </c>
      <c r="M106" s="41">
        <v>196.0</v>
      </c>
      <c r="N106" s="30"/>
      <c r="O106" s="4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</row>
    <row r="107" ht="18.75" customHeight="1">
      <c r="A107" s="31">
        <v>4349.0</v>
      </c>
      <c r="B107" s="32" t="s">
        <v>177</v>
      </c>
      <c r="C107" s="32" t="s">
        <v>178</v>
      </c>
      <c r="D107" s="32" t="s">
        <v>177</v>
      </c>
      <c r="E107" s="32" t="s">
        <v>179</v>
      </c>
      <c r="F107" s="33">
        <v>14.0</v>
      </c>
      <c r="G107" s="33">
        <v>653.0</v>
      </c>
      <c r="H107" s="34">
        <v>34710.0</v>
      </c>
      <c r="I107" s="31">
        <v>9.0</v>
      </c>
      <c r="J107" s="35" t="s">
        <v>76</v>
      </c>
      <c r="K107" s="35" t="s">
        <v>76</v>
      </c>
      <c r="L107" s="35" t="s">
        <v>76</v>
      </c>
      <c r="M107" s="41">
        <v>45.0</v>
      </c>
      <c r="N107" s="30"/>
      <c r="O107" s="4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</row>
    <row r="108" ht="18.75" customHeight="1">
      <c r="A108" s="31">
        <v>3028.0</v>
      </c>
      <c r="B108" s="32" t="s">
        <v>128</v>
      </c>
      <c r="C108" s="32" t="s">
        <v>129</v>
      </c>
      <c r="D108" s="32" t="s">
        <v>128</v>
      </c>
      <c r="E108" s="32" t="s">
        <v>94</v>
      </c>
      <c r="F108" s="33">
        <v>12.0</v>
      </c>
      <c r="G108" s="33">
        <v>650.0</v>
      </c>
      <c r="H108" s="34">
        <v>30900.0</v>
      </c>
      <c r="I108" s="31">
        <v>9.0</v>
      </c>
      <c r="J108" s="35" t="s">
        <v>76</v>
      </c>
      <c r="K108" s="35" t="s">
        <v>76</v>
      </c>
      <c r="L108" s="35" t="s">
        <v>76</v>
      </c>
      <c r="M108" s="41">
        <v>22.0</v>
      </c>
      <c r="N108" s="30"/>
      <c r="O108" s="4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</row>
    <row r="109" ht="18.75" customHeight="1">
      <c r="A109" s="31">
        <v>2765.0</v>
      </c>
      <c r="B109" s="32" t="s">
        <v>261</v>
      </c>
      <c r="C109" s="32" t="s">
        <v>262</v>
      </c>
      <c r="D109" s="32" t="s">
        <v>262</v>
      </c>
      <c r="E109" s="32" t="s">
        <v>74</v>
      </c>
      <c r="F109" s="33">
        <v>7.0</v>
      </c>
      <c r="G109" s="33">
        <v>645.0</v>
      </c>
      <c r="H109" s="34">
        <v>21991.0</v>
      </c>
      <c r="I109" s="31">
        <v>9.0</v>
      </c>
      <c r="J109" s="35" t="s">
        <v>76</v>
      </c>
      <c r="K109" s="35" t="s">
        <v>76</v>
      </c>
      <c r="L109" s="35" t="s">
        <v>75</v>
      </c>
      <c r="M109" s="41">
        <v>198.0</v>
      </c>
      <c r="N109" s="30"/>
      <c r="O109" s="4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</row>
    <row r="110" ht="18.75" customHeight="1">
      <c r="A110" s="31">
        <v>2505.0</v>
      </c>
      <c r="B110" s="32" t="s">
        <v>219</v>
      </c>
      <c r="C110" s="32" t="s">
        <v>102</v>
      </c>
      <c r="D110" s="32" t="s">
        <v>101</v>
      </c>
      <c r="E110" s="32" t="s">
        <v>88</v>
      </c>
      <c r="F110" s="33">
        <v>1.0</v>
      </c>
      <c r="G110" s="33">
        <v>642.0</v>
      </c>
      <c r="H110" s="34">
        <v>28682.0</v>
      </c>
      <c r="I110" s="31">
        <v>3.0</v>
      </c>
      <c r="J110" s="35" t="s">
        <v>76</v>
      </c>
      <c r="K110" s="35" t="s">
        <v>75</v>
      </c>
      <c r="L110" s="35" t="s">
        <v>76</v>
      </c>
      <c r="M110" s="41">
        <v>167.0</v>
      </c>
      <c r="N110" s="30"/>
      <c r="O110" s="4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</row>
    <row r="111" ht="18.75" customHeight="1">
      <c r="A111" s="31">
        <v>3700.0</v>
      </c>
      <c r="B111" s="32" t="s">
        <v>98</v>
      </c>
      <c r="C111" s="32" t="s">
        <v>99</v>
      </c>
      <c r="D111" s="32" t="s">
        <v>98</v>
      </c>
      <c r="E111" s="32" t="s">
        <v>100</v>
      </c>
      <c r="F111" s="33">
        <v>12.0</v>
      </c>
      <c r="G111" s="33">
        <v>629.0</v>
      </c>
      <c r="H111" s="34">
        <v>31679.0</v>
      </c>
      <c r="I111" s="31">
        <v>7.0</v>
      </c>
      <c r="J111" s="35" t="s">
        <v>76</v>
      </c>
      <c r="K111" s="35" t="s">
        <v>75</v>
      </c>
      <c r="L111" s="35" t="s">
        <v>76</v>
      </c>
      <c r="M111" s="41">
        <v>71.0</v>
      </c>
      <c r="N111" s="30"/>
      <c r="O111" s="4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</row>
    <row r="112" ht="18.75" customHeight="1">
      <c r="A112" s="31">
        <v>5553.0</v>
      </c>
      <c r="B112" s="32" t="s">
        <v>344</v>
      </c>
      <c r="C112" s="32" t="s">
        <v>78</v>
      </c>
      <c r="D112" s="32" t="s">
        <v>77</v>
      </c>
      <c r="E112" s="32" t="s">
        <v>79</v>
      </c>
      <c r="F112" s="33">
        <v>10.0</v>
      </c>
      <c r="G112" s="33">
        <v>628.0</v>
      </c>
      <c r="H112" s="34">
        <v>31500.0</v>
      </c>
      <c r="I112" s="31">
        <v>10.0</v>
      </c>
      <c r="J112" s="35" t="s">
        <v>76</v>
      </c>
      <c r="K112" s="35" t="s">
        <v>75</v>
      </c>
      <c r="L112" s="35" t="s">
        <v>76</v>
      </c>
      <c r="M112" s="41">
        <v>269.0</v>
      </c>
      <c r="N112" s="30"/>
      <c r="O112" s="4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</row>
    <row r="113" ht="18.75" customHeight="1">
      <c r="A113" s="31">
        <v>5031.0</v>
      </c>
      <c r="B113" s="32" t="s">
        <v>77</v>
      </c>
      <c r="C113" s="32" t="s">
        <v>78</v>
      </c>
      <c r="D113" s="32" t="s">
        <v>77</v>
      </c>
      <c r="E113" s="32" t="s">
        <v>79</v>
      </c>
      <c r="F113" s="33">
        <v>12.0</v>
      </c>
      <c r="G113" s="33">
        <v>626.0</v>
      </c>
      <c r="H113" s="36">
        <v>32065.0</v>
      </c>
      <c r="I113" s="31">
        <v>10.0</v>
      </c>
      <c r="J113" s="35" t="s">
        <v>76</v>
      </c>
      <c r="K113" s="35" t="s">
        <v>76</v>
      </c>
      <c r="L113" s="35" t="s">
        <v>75</v>
      </c>
      <c r="M113" s="41">
        <v>91.0</v>
      </c>
      <c r="N113" s="30"/>
      <c r="O113" s="4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</row>
    <row r="114" ht="18.75" customHeight="1">
      <c r="A114" s="31">
        <v>3648.0</v>
      </c>
      <c r="B114" s="32" t="s">
        <v>103</v>
      </c>
      <c r="C114" s="32" t="s">
        <v>104</v>
      </c>
      <c r="D114" s="32" t="s">
        <v>103</v>
      </c>
      <c r="E114" s="32" t="s">
        <v>105</v>
      </c>
      <c r="F114" s="33">
        <v>9.0</v>
      </c>
      <c r="G114" s="33">
        <v>620.0</v>
      </c>
      <c r="H114" s="34">
        <v>26039.0</v>
      </c>
      <c r="I114" s="31">
        <v>10.0</v>
      </c>
      <c r="J114" s="35" t="s">
        <v>76</v>
      </c>
      <c r="K114" s="35" t="s">
        <v>75</v>
      </c>
      <c r="L114" s="35" t="s">
        <v>75</v>
      </c>
      <c r="M114" s="41">
        <v>100.0</v>
      </c>
      <c r="N114" s="30"/>
      <c r="O114" s="4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</row>
    <row r="115" ht="18.75" customHeight="1">
      <c r="A115" s="31">
        <v>2987.0</v>
      </c>
      <c r="B115" s="32" t="s">
        <v>229</v>
      </c>
      <c r="C115" s="32" t="s">
        <v>153</v>
      </c>
      <c r="D115" s="32" t="s">
        <v>153</v>
      </c>
      <c r="E115" s="32" t="s">
        <v>154</v>
      </c>
      <c r="F115" s="33">
        <v>1.0</v>
      </c>
      <c r="G115" s="33">
        <v>619.0</v>
      </c>
      <c r="H115" s="34">
        <v>21987.0</v>
      </c>
      <c r="I115" s="31">
        <v>9.0</v>
      </c>
      <c r="J115" s="35" t="s">
        <v>75</v>
      </c>
      <c r="K115" s="35" t="s">
        <v>76</v>
      </c>
      <c r="L115" s="35" t="s">
        <v>76</v>
      </c>
      <c r="M115" s="41">
        <v>173.0</v>
      </c>
      <c r="N115" s="30"/>
      <c r="O115" s="4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</row>
    <row r="116" ht="18.75" customHeight="1">
      <c r="A116" s="31">
        <v>2705.0</v>
      </c>
      <c r="B116" s="32" t="s">
        <v>80</v>
      </c>
      <c r="C116" s="32" t="s">
        <v>81</v>
      </c>
      <c r="D116" s="32" t="s">
        <v>80</v>
      </c>
      <c r="E116" s="32" t="s">
        <v>82</v>
      </c>
      <c r="F116" s="33">
        <v>3.0</v>
      </c>
      <c r="G116" s="33">
        <v>616.0</v>
      </c>
      <c r="H116" s="34">
        <v>30292.0</v>
      </c>
      <c r="I116" s="31">
        <v>8.0</v>
      </c>
      <c r="J116" s="35" t="s">
        <v>75</v>
      </c>
      <c r="K116" s="35" t="s">
        <v>76</v>
      </c>
      <c r="L116" s="35" t="s">
        <v>76</v>
      </c>
      <c r="M116" s="41">
        <v>3.0</v>
      </c>
      <c r="N116" s="30"/>
      <c r="O116" s="4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  <c r="AA116" s="30"/>
    </row>
    <row r="117" ht="18.75" customHeight="1">
      <c r="A117" s="31">
        <v>5343.0</v>
      </c>
      <c r="B117" s="32" t="s">
        <v>80</v>
      </c>
      <c r="C117" s="32" t="s">
        <v>81</v>
      </c>
      <c r="D117" s="32" t="s">
        <v>80</v>
      </c>
      <c r="E117" s="32" t="s">
        <v>82</v>
      </c>
      <c r="F117" s="33">
        <v>11.0</v>
      </c>
      <c r="G117" s="33">
        <v>616.0</v>
      </c>
      <c r="H117" s="36">
        <v>30634.0</v>
      </c>
      <c r="I117" s="31">
        <v>7.0</v>
      </c>
      <c r="J117" s="35" t="s">
        <v>75</v>
      </c>
      <c r="K117" s="35" t="s">
        <v>75</v>
      </c>
      <c r="L117" s="35" t="s">
        <v>76</v>
      </c>
      <c r="M117" s="41">
        <v>65.0</v>
      </c>
      <c r="N117" s="30"/>
      <c r="O117" s="4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</row>
    <row r="118" ht="18.75" customHeight="1">
      <c r="A118" s="31">
        <v>4951.0</v>
      </c>
      <c r="B118" s="32" t="s">
        <v>117</v>
      </c>
      <c r="C118" s="32" t="s">
        <v>118</v>
      </c>
      <c r="D118" s="32" t="s">
        <v>117</v>
      </c>
      <c r="E118" s="32" t="s">
        <v>100</v>
      </c>
      <c r="F118" s="33">
        <v>1.0</v>
      </c>
      <c r="G118" s="33">
        <v>614.0</v>
      </c>
      <c r="H118" s="34">
        <v>25276.0</v>
      </c>
      <c r="I118" s="31">
        <v>4.0</v>
      </c>
      <c r="J118" s="35" t="s">
        <v>75</v>
      </c>
      <c r="K118" s="35" t="s">
        <v>76</v>
      </c>
      <c r="L118" s="35" t="s">
        <v>76</v>
      </c>
      <c r="M118" s="41">
        <v>17.0</v>
      </c>
      <c r="N118" s="30"/>
      <c r="O118" s="4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</row>
    <row r="119" ht="18.75" customHeight="1">
      <c r="A119" s="31">
        <v>3004.0</v>
      </c>
      <c r="B119" s="32" t="s">
        <v>355</v>
      </c>
      <c r="C119" s="32" t="s">
        <v>81</v>
      </c>
      <c r="D119" s="32" t="s">
        <v>80</v>
      </c>
      <c r="E119" s="32" t="s">
        <v>82</v>
      </c>
      <c r="F119" s="33">
        <v>3.0</v>
      </c>
      <c r="G119" s="33">
        <v>614.0</v>
      </c>
      <c r="H119" s="34">
        <v>31755.0</v>
      </c>
      <c r="I119" s="31">
        <v>4.0</v>
      </c>
      <c r="J119" s="35" t="s">
        <v>76</v>
      </c>
      <c r="K119" s="35" t="s">
        <v>75</v>
      </c>
      <c r="L119" s="35" t="s">
        <v>75</v>
      </c>
      <c r="M119" s="41">
        <v>279.0</v>
      </c>
      <c r="N119" s="30"/>
      <c r="O119" s="4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</row>
    <row r="120" ht="18.75" customHeight="1">
      <c r="A120" s="31">
        <v>4431.0</v>
      </c>
      <c r="B120" s="32" t="s">
        <v>72</v>
      </c>
      <c r="C120" s="32" t="s">
        <v>73</v>
      </c>
      <c r="D120" s="32" t="s">
        <v>72</v>
      </c>
      <c r="E120" s="32" t="s">
        <v>74</v>
      </c>
      <c r="F120" s="33">
        <v>11.0</v>
      </c>
      <c r="G120" s="33">
        <v>607.0</v>
      </c>
      <c r="H120" s="36">
        <v>28058.0</v>
      </c>
      <c r="I120" s="31">
        <v>4.0</v>
      </c>
      <c r="J120" s="35" t="s">
        <v>75</v>
      </c>
      <c r="K120" s="35" t="s">
        <v>75</v>
      </c>
      <c r="L120" s="35" t="s">
        <v>75</v>
      </c>
      <c r="M120" s="41">
        <v>90.0</v>
      </c>
      <c r="N120" s="30"/>
      <c r="O120" s="4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</row>
    <row r="121" ht="18.75" customHeight="1">
      <c r="A121" s="31">
        <v>2509.0</v>
      </c>
      <c r="B121" s="32" t="s">
        <v>316</v>
      </c>
      <c r="C121" s="32" t="s">
        <v>168</v>
      </c>
      <c r="D121" s="32" t="s">
        <v>167</v>
      </c>
      <c r="E121" s="32" t="s">
        <v>105</v>
      </c>
      <c r="F121" s="33">
        <v>13.0</v>
      </c>
      <c r="G121" s="33">
        <v>606.0</v>
      </c>
      <c r="H121" s="34">
        <v>27342.0</v>
      </c>
      <c r="I121" s="31">
        <v>9.0</v>
      </c>
      <c r="J121" s="35" t="s">
        <v>76</v>
      </c>
      <c r="K121" s="35" t="s">
        <v>76</v>
      </c>
      <c r="L121" s="35" t="s">
        <v>76</v>
      </c>
      <c r="M121" s="41">
        <v>243.0</v>
      </c>
      <c r="N121" s="30"/>
      <c r="O121" s="4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</row>
    <row r="122" ht="18.75" customHeight="1">
      <c r="A122" s="31">
        <v>5400.0</v>
      </c>
      <c r="B122" s="32" t="s">
        <v>299</v>
      </c>
      <c r="C122" s="32" t="s">
        <v>149</v>
      </c>
      <c r="D122" s="32" t="s">
        <v>148</v>
      </c>
      <c r="E122" s="32" t="s">
        <v>139</v>
      </c>
      <c r="F122" s="33">
        <v>14.0</v>
      </c>
      <c r="G122" s="33">
        <v>605.0</v>
      </c>
      <c r="H122" s="36">
        <v>33188.0</v>
      </c>
      <c r="I122" s="31">
        <v>1.0</v>
      </c>
      <c r="J122" s="35" t="s">
        <v>76</v>
      </c>
      <c r="K122" s="35" t="s">
        <v>75</v>
      </c>
      <c r="L122" s="35" t="s">
        <v>75</v>
      </c>
      <c r="M122" s="41">
        <v>228.0</v>
      </c>
      <c r="N122" s="30"/>
      <c r="O122" s="4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</row>
    <row r="123" ht="18.75" customHeight="1">
      <c r="A123" s="31">
        <v>4635.0</v>
      </c>
      <c r="B123" s="32" t="s">
        <v>112</v>
      </c>
      <c r="C123" s="32" t="s">
        <v>113</v>
      </c>
      <c r="D123" s="32" t="s">
        <v>112</v>
      </c>
      <c r="E123" s="32" t="s">
        <v>114</v>
      </c>
      <c r="F123" s="33">
        <v>2.0</v>
      </c>
      <c r="G123" s="33">
        <v>604.0</v>
      </c>
      <c r="H123" s="34">
        <v>21210.0</v>
      </c>
      <c r="I123" s="31">
        <v>5.0</v>
      </c>
      <c r="J123" s="35" t="s">
        <v>75</v>
      </c>
      <c r="K123" s="35" t="s">
        <v>75</v>
      </c>
      <c r="L123" s="35" t="s">
        <v>76</v>
      </c>
      <c r="M123" s="41">
        <v>104.0</v>
      </c>
      <c r="N123" s="30"/>
      <c r="O123" s="4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</row>
    <row r="124" ht="18.75" customHeight="1">
      <c r="A124" s="31">
        <v>3341.0</v>
      </c>
      <c r="B124" s="32" t="s">
        <v>375</v>
      </c>
      <c r="C124" s="32" t="s">
        <v>141</v>
      </c>
      <c r="D124" s="32" t="s">
        <v>141</v>
      </c>
      <c r="E124" s="32" t="s">
        <v>100</v>
      </c>
      <c r="F124" s="33">
        <v>11.0</v>
      </c>
      <c r="G124" s="33">
        <v>600.0</v>
      </c>
      <c r="H124" s="34">
        <v>30205.0</v>
      </c>
      <c r="I124" s="31">
        <v>5.0</v>
      </c>
      <c r="J124" s="35" t="s">
        <v>76</v>
      </c>
      <c r="K124" s="35" t="s">
        <v>75</v>
      </c>
      <c r="L124" s="35" t="s">
        <v>76</v>
      </c>
      <c r="M124" s="41">
        <v>295.0</v>
      </c>
      <c r="N124" s="30"/>
      <c r="O124" s="4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</row>
    <row r="125" ht="18.75" customHeight="1">
      <c r="A125" s="31">
        <v>3316.0</v>
      </c>
      <c r="B125" s="32" t="s">
        <v>280</v>
      </c>
      <c r="C125" s="32" t="s">
        <v>96</v>
      </c>
      <c r="D125" s="32" t="s">
        <v>96</v>
      </c>
      <c r="E125" s="32" t="s">
        <v>97</v>
      </c>
      <c r="F125" s="33">
        <v>11.0</v>
      </c>
      <c r="G125" s="33">
        <v>598.0</v>
      </c>
      <c r="H125" s="34">
        <v>25993.0</v>
      </c>
      <c r="I125" s="31">
        <v>8.0</v>
      </c>
      <c r="J125" s="35" t="s">
        <v>75</v>
      </c>
      <c r="K125" s="35" t="s">
        <v>76</v>
      </c>
      <c r="L125" s="35" t="s">
        <v>76</v>
      </c>
      <c r="M125" s="41">
        <v>213.0</v>
      </c>
      <c r="N125" s="30"/>
      <c r="O125" s="4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</row>
    <row r="126" ht="18.75" customHeight="1">
      <c r="A126" s="31">
        <v>5291.0</v>
      </c>
      <c r="B126" s="32" t="s">
        <v>72</v>
      </c>
      <c r="C126" s="32" t="s">
        <v>73</v>
      </c>
      <c r="D126" s="32" t="s">
        <v>72</v>
      </c>
      <c r="E126" s="32" t="s">
        <v>74</v>
      </c>
      <c r="F126" s="33">
        <v>12.0</v>
      </c>
      <c r="G126" s="33">
        <v>597.0</v>
      </c>
      <c r="H126" s="34">
        <v>28343.0</v>
      </c>
      <c r="I126" s="31">
        <v>9.0</v>
      </c>
      <c r="J126" s="35" t="s">
        <v>75</v>
      </c>
      <c r="K126" s="35" t="s">
        <v>75</v>
      </c>
      <c r="L126" s="35" t="s">
        <v>75</v>
      </c>
      <c r="M126" s="41">
        <v>109.0</v>
      </c>
      <c r="N126" s="30"/>
      <c r="O126" s="4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</row>
    <row r="127" ht="18.75" customHeight="1">
      <c r="A127" s="31">
        <v>4301.0</v>
      </c>
      <c r="B127" s="32" t="s">
        <v>338</v>
      </c>
      <c r="C127" s="32" t="s">
        <v>81</v>
      </c>
      <c r="D127" s="32" t="s">
        <v>80</v>
      </c>
      <c r="E127" s="32" t="s">
        <v>82</v>
      </c>
      <c r="F127" s="33">
        <v>15.0</v>
      </c>
      <c r="G127" s="33">
        <v>592.0</v>
      </c>
      <c r="H127" s="34">
        <v>32256.0</v>
      </c>
      <c r="I127" s="31">
        <v>2.0</v>
      </c>
      <c r="J127" s="35" t="s">
        <v>76</v>
      </c>
      <c r="K127" s="35" t="s">
        <v>76</v>
      </c>
      <c r="L127" s="35" t="s">
        <v>76</v>
      </c>
      <c r="M127" s="41">
        <v>264.0</v>
      </c>
      <c r="N127" s="30"/>
      <c r="O127" s="4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</row>
    <row r="128" ht="18.75" customHeight="1">
      <c r="A128" s="31">
        <v>4938.0</v>
      </c>
      <c r="B128" s="32" t="s">
        <v>161</v>
      </c>
      <c r="C128" s="32" t="s">
        <v>162</v>
      </c>
      <c r="D128" s="32" t="s">
        <v>162</v>
      </c>
      <c r="E128" s="32" t="s">
        <v>94</v>
      </c>
      <c r="F128" s="33">
        <v>13.0</v>
      </c>
      <c r="G128" s="33">
        <v>589.0</v>
      </c>
      <c r="H128" s="34">
        <v>34765.0</v>
      </c>
      <c r="I128" s="31">
        <v>7.0</v>
      </c>
      <c r="J128" s="35" t="s">
        <v>76</v>
      </c>
      <c r="K128" s="35" t="s">
        <v>76</v>
      </c>
      <c r="L128" s="35" t="s">
        <v>75</v>
      </c>
      <c r="M128" s="41">
        <v>37.0</v>
      </c>
      <c r="N128" s="30"/>
      <c r="O128" s="4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</row>
    <row r="129" ht="18.75" customHeight="1">
      <c r="A129" s="31">
        <v>2839.0</v>
      </c>
      <c r="B129" s="32" t="s">
        <v>101</v>
      </c>
      <c r="C129" s="32" t="s">
        <v>102</v>
      </c>
      <c r="D129" s="32" t="s">
        <v>101</v>
      </c>
      <c r="E129" s="32" t="s">
        <v>88</v>
      </c>
      <c r="F129" s="33">
        <v>4.0</v>
      </c>
      <c r="G129" s="33">
        <v>586.0</v>
      </c>
      <c r="H129" s="34">
        <v>20162.0</v>
      </c>
      <c r="I129" s="31">
        <v>9.0</v>
      </c>
      <c r="J129" s="35" t="s">
        <v>76</v>
      </c>
      <c r="K129" s="35" t="s">
        <v>76</v>
      </c>
      <c r="L129" s="35" t="s">
        <v>75</v>
      </c>
      <c r="M129" s="41">
        <v>10.0</v>
      </c>
      <c r="N129" s="30"/>
      <c r="O129" s="4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</row>
    <row r="130" ht="18.75" customHeight="1">
      <c r="A130" s="31">
        <v>4511.0</v>
      </c>
      <c r="B130" s="32" t="s">
        <v>214</v>
      </c>
      <c r="C130" s="32" t="s">
        <v>183</v>
      </c>
      <c r="D130" s="32" t="s">
        <v>183</v>
      </c>
      <c r="E130" s="32" t="s">
        <v>100</v>
      </c>
      <c r="F130" s="33">
        <v>1.0</v>
      </c>
      <c r="G130" s="33">
        <v>585.0</v>
      </c>
      <c r="H130" s="34">
        <v>22674.0</v>
      </c>
      <c r="I130" s="31">
        <v>3.0</v>
      </c>
      <c r="J130" s="35" t="s">
        <v>75</v>
      </c>
      <c r="K130" s="35" t="s">
        <v>75</v>
      </c>
      <c r="L130" s="35" t="s">
        <v>76</v>
      </c>
      <c r="M130" s="41">
        <v>163.0</v>
      </c>
      <c r="N130" s="30"/>
      <c r="O130" s="4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</row>
    <row r="131" ht="18.75" customHeight="1">
      <c r="A131" s="31">
        <v>4433.0</v>
      </c>
      <c r="B131" s="32" t="s">
        <v>95</v>
      </c>
      <c r="C131" s="32" t="s">
        <v>96</v>
      </c>
      <c r="D131" s="32" t="s">
        <v>96</v>
      </c>
      <c r="E131" s="32" t="s">
        <v>97</v>
      </c>
      <c r="F131" s="33">
        <v>3.0</v>
      </c>
      <c r="G131" s="33">
        <v>584.0</v>
      </c>
      <c r="H131" s="34">
        <v>28902.0</v>
      </c>
      <c r="I131" s="31">
        <v>4.0</v>
      </c>
      <c r="J131" s="35" t="s">
        <v>75</v>
      </c>
      <c r="K131" s="35" t="s">
        <v>75</v>
      </c>
      <c r="L131" s="35" t="s">
        <v>76</v>
      </c>
      <c r="M131" s="41">
        <v>8.0</v>
      </c>
      <c r="N131" s="30"/>
      <c r="O131" s="4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</row>
    <row r="132" ht="18.75" customHeight="1">
      <c r="A132" s="31">
        <v>3475.0</v>
      </c>
      <c r="B132" s="32" t="s">
        <v>146</v>
      </c>
      <c r="C132" s="32" t="s">
        <v>147</v>
      </c>
      <c r="D132" s="32" t="s">
        <v>147</v>
      </c>
      <c r="E132" s="32" t="s">
        <v>94</v>
      </c>
      <c r="F132" s="33">
        <v>10.0</v>
      </c>
      <c r="G132" s="33">
        <v>582.0</v>
      </c>
      <c r="H132" s="34">
        <v>34722.0</v>
      </c>
      <c r="I132" s="31">
        <v>2.0</v>
      </c>
      <c r="J132" s="35" t="s">
        <v>76</v>
      </c>
      <c r="K132" s="35" t="s">
        <v>76</v>
      </c>
      <c r="L132" s="35" t="s">
        <v>75</v>
      </c>
      <c r="M132" s="41">
        <v>30.0</v>
      </c>
      <c r="N132" s="30"/>
      <c r="O132" s="4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</row>
    <row r="133" ht="18.75" customHeight="1">
      <c r="A133" s="31">
        <v>3571.0</v>
      </c>
      <c r="B133" s="32" t="s">
        <v>72</v>
      </c>
      <c r="C133" s="32" t="s">
        <v>73</v>
      </c>
      <c r="D133" s="32" t="s">
        <v>72</v>
      </c>
      <c r="E133" s="32" t="s">
        <v>74</v>
      </c>
      <c r="F133" s="33">
        <v>12.0</v>
      </c>
      <c r="G133" s="33">
        <v>580.0</v>
      </c>
      <c r="H133" s="34">
        <v>23801.0</v>
      </c>
      <c r="I133" s="31">
        <v>4.0</v>
      </c>
      <c r="J133" s="35" t="s">
        <v>75</v>
      </c>
      <c r="K133" s="35" t="s">
        <v>75</v>
      </c>
      <c r="L133" s="35" t="s">
        <v>75</v>
      </c>
      <c r="M133" s="41">
        <v>147.0</v>
      </c>
      <c r="N133" s="30"/>
      <c r="O133" s="4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</row>
    <row r="134" ht="18.75" customHeight="1">
      <c r="A134" s="31">
        <v>2623.0</v>
      </c>
      <c r="B134" s="32" t="s">
        <v>103</v>
      </c>
      <c r="C134" s="32" t="s">
        <v>104</v>
      </c>
      <c r="D134" s="32" t="s">
        <v>103</v>
      </c>
      <c r="E134" s="32" t="s">
        <v>105</v>
      </c>
      <c r="F134" s="33">
        <v>10.0</v>
      </c>
      <c r="G134" s="33">
        <v>578.0</v>
      </c>
      <c r="H134" s="34">
        <v>30415.0</v>
      </c>
      <c r="I134" s="31">
        <v>1.0</v>
      </c>
      <c r="J134" s="35" t="s">
        <v>76</v>
      </c>
      <c r="K134" s="35" t="s">
        <v>75</v>
      </c>
      <c r="L134" s="35" t="s">
        <v>75</v>
      </c>
      <c r="M134" s="41">
        <v>11.0</v>
      </c>
      <c r="N134" s="30"/>
      <c r="O134" s="4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</row>
    <row r="135" ht="18.75" customHeight="1">
      <c r="A135" s="31">
        <v>4855.0</v>
      </c>
      <c r="B135" s="32" t="s">
        <v>267</v>
      </c>
      <c r="C135" s="32" t="s">
        <v>268</v>
      </c>
      <c r="D135" s="32" t="s">
        <v>268</v>
      </c>
      <c r="E135" s="32" t="s">
        <v>85</v>
      </c>
      <c r="F135" s="33">
        <v>5.0</v>
      </c>
      <c r="G135" s="33">
        <v>575.0</v>
      </c>
      <c r="H135" s="34">
        <v>24256.0</v>
      </c>
      <c r="I135" s="31">
        <v>9.0</v>
      </c>
      <c r="J135" s="35" t="s">
        <v>75</v>
      </c>
      <c r="K135" s="35" t="s">
        <v>76</v>
      </c>
      <c r="L135" s="35" t="s">
        <v>76</v>
      </c>
      <c r="M135" s="41">
        <v>203.0</v>
      </c>
      <c r="N135" s="30"/>
      <c r="O135" s="4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</row>
    <row r="136" ht="18.75" customHeight="1">
      <c r="A136" s="31">
        <v>4655.0</v>
      </c>
      <c r="B136" s="32" t="s">
        <v>220</v>
      </c>
      <c r="C136" s="32" t="s">
        <v>221</v>
      </c>
      <c r="D136" s="32" t="s">
        <v>221</v>
      </c>
      <c r="E136" s="32" t="s">
        <v>105</v>
      </c>
      <c r="F136" s="33">
        <v>4.0</v>
      </c>
      <c r="G136" s="33">
        <v>573.0</v>
      </c>
      <c r="H136" s="34">
        <v>30530.0</v>
      </c>
      <c r="I136" s="31">
        <v>7.0</v>
      </c>
      <c r="J136" s="35" t="s">
        <v>76</v>
      </c>
      <c r="K136" s="35" t="s">
        <v>76</v>
      </c>
      <c r="L136" s="35" t="s">
        <v>76</v>
      </c>
      <c r="M136" s="41">
        <v>168.0</v>
      </c>
      <c r="N136" s="30"/>
      <c r="O136" s="4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</row>
    <row r="137" ht="18.75" customHeight="1">
      <c r="A137" s="31">
        <v>3943.0</v>
      </c>
      <c r="B137" s="32" t="s">
        <v>112</v>
      </c>
      <c r="C137" s="32" t="s">
        <v>113</v>
      </c>
      <c r="D137" s="32" t="s">
        <v>112</v>
      </c>
      <c r="E137" s="32" t="s">
        <v>114</v>
      </c>
      <c r="F137" s="33">
        <v>6.0</v>
      </c>
      <c r="G137" s="33">
        <v>571.0</v>
      </c>
      <c r="H137" s="34">
        <v>27802.0</v>
      </c>
      <c r="I137" s="31">
        <v>5.0</v>
      </c>
      <c r="J137" s="35" t="s">
        <v>76</v>
      </c>
      <c r="K137" s="35" t="s">
        <v>76</v>
      </c>
      <c r="L137" s="35" t="s">
        <v>76</v>
      </c>
      <c r="M137" s="41">
        <v>15.0</v>
      </c>
      <c r="N137" s="30"/>
      <c r="O137" s="4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</row>
    <row r="138" ht="18.75" customHeight="1">
      <c r="A138" s="31">
        <v>4936.0</v>
      </c>
      <c r="B138" s="32" t="s">
        <v>241</v>
      </c>
      <c r="C138" s="32" t="s">
        <v>104</v>
      </c>
      <c r="D138" s="32" t="s">
        <v>103</v>
      </c>
      <c r="E138" s="32" t="s">
        <v>105</v>
      </c>
      <c r="F138" s="33">
        <v>3.0</v>
      </c>
      <c r="G138" s="33">
        <v>570.0</v>
      </c>
      <c r="H138" s="34">
        <v>32326.0</v>
      </c>
      <c r="I138" s="31">
        <v>5.0</v>
      </c>
      <c r="J138" s="35" t="s">
        <v>76</v>
      </c>
      <c r="K138" s="35" t="s">
        <v>75</v>
      </c>
      <c r="L138" s="35" t="s">
        <v>75</v>
      </c>
      <c r="M138" s="41">
        <v>181.0</v>
      </c>
      <c r="N138" s="30"/>
      <c r="O138" s="4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</row>
    <row r="139" ht="18.75" customHeight="1">
      <c r="A139" s="31">
        <v>4468.0</v>
      </c>
      <c r="B139" s="32" t="s">
        <v>173</v>
      </c>
      <c r="C139" s="32" t="s">
        <v>174</v>
      </c>
      <c r="D139" s="32" t="s">
        <v>174</v>
      </c>
      <c r="E139" s="32" t="s">
        <v>166</v>
      </c>
      <c r="F139" s="33">
        <v>4.0</v>
      </c>
      <c r="G139" s="33">
        <v>559.0</v>
      </c>
      <c r="H139" s="34">
        <v>31434.0</v>
      </c>
      <c r="I139" s="31">
        <v>4.0</v>
      </c>
      <c r="J139" s="35" t="s">
        <v>75</v>
      </c>
      <c r="K139" s="35" t="s">
        <v>75</v>
      </c>
      <c r="L139" s="35" t="s">
        <v>75</v>
      </c>
      <c r="M139" s="41">
        <v>43.0</v>
      </c>
      <c r="N139" s="30"/>
      <c r="O139" s="4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</row>
    <row r="140" ht="18.75" customHeight="1">
      <c r="A140" s="31">
        <v>5429.0</v>
      </c>
      <c r="B140" s="32" t="s">
        <v>72</v>
      </c>
      <c r="C140" s="32" t="s">
        <v>73</v>
      </c>
      <c r="D140" s="32" t="s">
        <v>72</v>
      </c>
      <c r="E140" s="32" t="s">
        <v>74</v>
      </c>
      <c r="F140" s="33">
        <v>8.0</v>
      </c>
      <c r="G140" s="33">
        <v>557.0</v>
      </c>
      <c r="H140" s="34">
        <v>21720.0</v>
      </c>
      <c r="I140" s="31">
        <v>2.0</v>
      </c>
      <c r="J140" s="35" t="s">
        <v>76</v>
      </c>
      <c r="K140" s="35" t="s">
        <v>76</v>
      </c>
      <c r="L140" s="35" t="s">
        <v>76</v>
      </c>
      <c r="M140" s="41">
        <v>143.0</v>
      </c>
      <c r="N140" s="30"/>
      <c r="O140" s="4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</row>
    <row r="141" ht="18.75" customHeight="1">
      <c r="A141" s="31">
        <v>5325.0</v>
      </c>
      <c r="B141" s="32" t="s">
        <v>72</v>
      </c>
      <c r="C141" s="32" t="s">
        <v>73</v>
      </c>
      <c r="D141" s="32" t="s">
        <v>72</v>
      </c>
      <c r="E141" s="32" t="s">
        <v>74</v>
      </c>
      <c r="F141" s="33">
        <v>15.0</v>
      </c>
      <c r="G141" s="33">
        <v>551.0</v>
      </c>
      <c r="H141" s="34">
        <v>32698.0</v>
      </c>
      <c r="I141" s="31">
        <v>9.0</v>
      </c>
      <c r="J141" s="35" t="s">
        <v>75</v>
      </c>
      <c r="K141" s="35" t="s">
        <v>75</v>
      </c>
      <c r="L141" s="35" t="s">
        <v>75</v>
      </c>
      <c r="M141" s="41">
        <v>139.0</v>
      </c>
      <c r="N141" s="30"/>
      <c r="O141" s="4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</row>
    <row r="142" ht="18.75" customHeight="1">
      <c r="A142" s="31">
        <v>5196.0</v>
      </c>
      <c r="B142" s="32" t="s">
        <v>86</v>
      </c>
      <c r="C142" s="32" t="s">
        <v>87</v>
      </c>
      <c r="D142" s="32" t="s">
        <v>86</v>
      </c>
      <c r="E142" s="32" t="s">
        <v>88</v>
      </c>
      <c r="F142" s="33">
        <v>10.0</v>
      </c>
      <c r="G142" s="33">
        <v>550.0</v>
      </c>
      <c r="H142" s="36">
        <v>21486.0</v>
      </c>
      <c r="I142" s="31">
        <v>4.0</v>
      </c>
      <c r="J142" s="35" t="s">
        <v>75</v>
      </c>
      <c r="K142" s="35" t="s">
        <v>75</v>
      </c>
      <c r="L142" s="35" t="s">
        <v>75</v>
      </c>
      <c r="M142" s="41">
        <v>5.0</v>
      </c>
      <c r="N142" s="30"/>
      <c r="O142" s="4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</row>
    <row r="143" ht="18.75" customHeight="1">
      <c r="A143" s="31">
        <v>3414.0</v>
      </c>
      <c r="B143" s="32" t="s">
        <v>77</v>
      </c>
      <c r="C143" s="32" t="s">
        <v>78</v>
      </c>
      <c r="D143" s="32" t="s">
        <v>77</v>
      </c>
      <c r="E143" s="32" t="s">
        <v>79</v>
      </c>
      <c r="F143" s="33">
        <v>13.0</v>
      </c>
      <c r="G143" s="33">
        <v>541.0</v>
      </c>
      <c r="H143" s="34">
        <v>32609.0</v>
      </c>
      <c r="I143" s="31">
        <v>2.0</v>
      </c>
      <c r="J143" s="35" t="s">
        <v>75</v>
      </c>
      <c r="K143" s="35" t="s">
        <v>75</v>
      </c>
      <c r="L143" s="35" t="s">
        <v>75</v>
      </c>
      <c r="M143" s="41">
        <v>110.0</v>
      </c>
      <c r="N143" s="30"/>
      <c r="O143" s="4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</row>
    <row r="144" ht="18.75" customHeight="1">
      <c r="A144" s="31">
        <v>3752.0</v>
      </c>
      <c r="B144" s="32" t="s">
        <v>276</v>
      </c>
      <c r="C144" s="32" t="s">
        <v>277</v>
      </c>
      <c r="D144" s="32" t="s">
        <v>277</v>
      </c>
      <c r="E144" s="32" t="s">
        <v>79</v>
      </c>
      <c r="F144" s="33">
        <v>13.0</v>
      </c>
      <c r="G144" s="33">
        <v>538.0</v>
      </c>
      <c r="H144" s="34">
        <v>24268.0</v>
      </c>
      <c r="I144" s="31">
        <v>8.0</v>
      </c>
      <c r="J144" s="35" t="s">
        <v>76</v>
      </c>
      <c r="K144" s="35" t="s">
        <v>76</v>
      </c>
      <c r="L144" s="35" t="s">
        <v>75</v>
      </c>
      <c r="M144" s="41">
        <v>210.0</v>
      </c>
      <c r="N144" s="30"/>
      <c r="O144" s="4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</row>
    <row r="145" ht="18.75" customHeight="1">
      <c r="A145" s="31">
        <v>5233.0</v>
      </c>
      <c r="B145" s="32" t="s">
        <v>269</v>
      </c>
      <c r="C145" s="32" t="s">
        <v>208</v>
      </c>
      <c r="D145" s="32" t="s">
        <v>207</v>
      </c>
      <c r="E145" s="32" t="s">
        <v>97</v>
      </c>
      <c r="F145" s="33">
        <v>13.0</v>
      </c>
      <c r="G145" s="33">
        <v>537.0</v>
      </c>
      <c r="H145" s="34">
        <v>21381.0</v>
      </c>
      <c r="I145" s="31">
        <v>3.0</v>
      </c>
      <c r="J145" s="35" t="s">
        <v>76</v>
      </c>
      <c r="K145" s="35" t="s">
        <v>76</v>
      </c>
      <c r="L145" s="35" t="s">
        <v>75</v>
      </c>
      <c r="M145" s="41">
        <v>204.0</v>
      </c>
      <c r="N145" s="30"/>
      <c r="O145" s="4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</row>
    <row r="146" ht="18.75" customHeight="1">
      <c r="A146" s="31">
        <v>4281.0</v>
      </c>
      <c r="B146" s="32" t="s">
        <v>182</v>
      </c>
      <c r="C146" s="32" t="s">
        <v>183</v>
      </c>
      <c r="D146" s="32" t="s">
        <v>183</v>
      </c>
      <c r="E146" s="32" t="s">
        <v>100</v>
      </c>
      <c r="F146" s="33">
        <v>11.0</v>
      </c>
      <c r="G146" s="33">
        <v>531.0</v>
      </c>
      <c r="H146" s="34">
        <v>20998.0</v>
      </c>
      <c r="I146" s="31">
        <v>2.0</v>
      </c>
      <c r="J146" s="35" t="s">
        <v>76</v>
      </c>
      <c r="K146" s="35" t="s">
        <v>76</v>
      </c>
      <c r="L146" s="35" t="s">
        <v>75</v>
      </c>
      <c r="M146" s="41">
        <v>47.0</v>
      </c>
      <c r="N146" s="30"/>
      <c r="O146" s="4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</row>
    <row r="147" ht="18.75" customHeight="1">
      <c r="A147" s="31">
        <v>3418.0</v>
      </c>
      <c r="B147" s="32" t="s">
        <v>83</v>
      </c>
      <c r="C147" s="32" t="s">
        <v>84</v>
      </c>
      <c r="D147" s="32" t="s">
        <v>83</v>
      </c>
      <c r="E147" s="32" t="s">
        <v>85</v>
      </c>
      <c r="F147" s="33">
        <v>8.0</v>
      </c>
      <c r="G147" s="33">
        <v>523.0</v>
      </c>
      <c r="H147" s="34">
        <v>32368.0</v>
      </c>
      <c r="I147" s="31">
        <v>5.0</v>
      </c>
      <c r="J147" s="35" t="s">
        <v>75</v>
      </c>
      <c r="K147" s="35" t="s">
        <v>76</v>
      </c>
      <c r="L147" s="35" t="s">
        <v>76</v>
      </c>
      <c r="M147" s="41">
        <v>116.0</v>
      </c>
      <c r="N147" s="30"/>
      <c r="O147" s="4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</row>
    <row r="148" ht="18.75" customHeight="1">
      <c r="A148" s="31">
        <v>3717.0</v>
      </c>
      <c r="B148" s="32" t="s">
        <v>159</v>
      </c>
      <c r="C148" s="32" t="s">
        <v>160</v>
      </c>
      <c r="D148" s="32" t="s">
        <v>160</v>
      </c>
      <c r="E148" s="32" t="s">
        <v>79</v>
      </c>
      <c r="F148" s="33">
        <v>11.0</v>
      </c>
      <c r="G148" s="33">
        <v>518.0</v>
      </c>
      <c r="H148" s="36">
        <v>25868.0</v>
      </c>
      <c r="I148" s="31">
        <v>10.0</v>
      </c>
      <c r="J148" s="35" t="s">
        <v>76</v>
      </c>
      <c r="K148" s="35" t="s">
        <v>76</v>
      </c>
      <c r="L148" s="35" t="s">
        <v>75</v>
      </c>
      <c r="M148" s="41">
        <v>36.0</v>
      </c>
      <c r="N148" s="30"/>
      <c r="O148" s="4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</row>
    <row r="149" ht="18.75" customHeight="1">
      <c r="A149" s="31">
        <v>4105.0</v>
      </c>
      <c r="B149" s="32" t="s">
        <v>247</v>
      </c>
      <c r="C149" s="32" t="s">
        <v>102</v>
      </c>
      <c r="D149" s="32" t="s">
        <v>101</v>
      </c>
      <c r="E149" s="32" t="s">
        <v>88</v>
      </c>
      <c r="F149" s="33">
        <v>12.0</v>
      </c>
      <c r="G149" s="33">
        <v>518.0</v>
      </c>
      <c r="H149" s="36">
        <v>24029.0</v>
      </c>
      <c r="I149" s="31">
        <v>3.0</v>
      </c>
      <c r="J149" s="35" t="s">
        <v>76</v>
      </c>
      <c r="K149" s="35" t="s">
        <v>75</v>
      </c>
      <c r="L149" s="35" t="s">
        <v>76</v>
      </c>
      <c r="M149" s="41">
        <v>187.0</v>
      </c>
      <c r="N149" s="30"/>
      <c r="O149" s="4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</row>
    <row r="150" ht="18.75" customHeight="1">
      <c r="A150" s="31">
        <v>2891.0</v>
      </c>
      <c r="B150" s="32" t="s">
        <v>366</v>
      </c>
      <c r="C150" s="32" t="s">
        <v>156</v>
      </c>
      <c r="D150" s="32" t="s">
        <v>387</v>
      </c>
      <c r="E150" s="32" t="s">
        <v>79</v>
      </c>
      <c r="F150" s="33">
        <v>9.0</v>
      </c>
      <c r="G150" s="33">
        <v>517.0</v>
      </c>
      <c r="H150" s="34">
        <v>23346.0</v>
      </c>
      <c r="I150" s="31">
        <v>9.0</v>
      </c>
      <c r="J150" s="35" t="s">
        <v>76</v>
      </c>
      <c r="K150" s="35" t="s">
        <v>76</v>
      </c>
      <c r="L150" s="35" t="s">
        <v>76</v>
      </c>
      <c r="M150" s="41">
        <v>288.0</v>
      </c>
      <c r="N150" s="30"/>
      <c r="O150" s="4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</row>
    <row r="151" ht="18.75" customHeight="1">
      <c r="A151" s="31">
        <v>4726.0</v>
      </c>
      <c r="B151" s="32" t="s">
        <v>80</v>
      </c>
      <c r="C151" s="32" t="s">
        <v>81</v>
      </c>
      <c r="D151" s="32" t="s">
        <v>80</v>
      </c>
      <c r="E151" s="32" t="s">
        <v>82</v>
      </c>
      <c r="F151" s="33">
        <v>7.0</v>
      </c>
      <c r="G151" s="33">
        <v>502.0</v>
      </c>
      <c r="H151" s="34">
        <v>29847.0</v>
      </c>
      <c r="I151" s="31">
        <v>6.0</v>
      </c>
      <c r="J151" s="35" t="s">
        <v>75</v>
      </c>
      <c r="K151" s="35" t="s">
        <v>75</v>
      </c>
      <c r="L151" s="35" t="s">
        <v>75</v>
      </c>
      <c r="M151" s="41">
        <v>107.0</v>
      </c>
      <c r="N151" s="30"/>
      <c r="O151" s="4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</row>
    <row r="152" ht="18.75" customHeight="1">
      <c r="A152" s="31">
        <v>3939.0</v>
      </c>
      <c r="B152" s="32" t="s">
        <v>110</v>
      </c>
      <c r="C152" s="32" t="s">
        <v>111</v>
      </c>
      <c r="D152" s="32" t="s">
        <v>110</v>
      </c>
      <c r="E152" s="32" t="s">
        <v>105</v>
      </c>
      <c r="F152" s="33">
        <v>10.0</v>
      </c>
      <c r="G152" s="33">
        <v>501.0</v>
      </c>
      <c r="H152" s="36">
        <v>30252.0</v>
      </c>
      <c r="I152" s="31">
        <v>9.0</v>
      </c>
      <c r="J152" s="35" t="s">
        <v>76</v>
      </c>
      <c r="K152" s="35" t="s">
        <v>75</v>
      </c>
      <c r="L152" s="35" t="s">
        <v>76</v>
      </c>
      <c r="M152" s="41">
        <v>76.0</v>
      </c>
      <c r="N152" s="30"/>
      <c r="O152" s="4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</row>
    <row r="153" ht="18.75" customHeight="1">
      <c r="A153" s="31">
        <v>3022.0</v>
      </c>
      <c r="B153" s="32" t="s">
        <v>110</v>
      </c>
      <c r="C153" s="32" t="s">
        <v>111</v>
      </c>
      <c r="D153" s="32" t="s">
        <v>110</v>
      </c>
      <c r="E153" s="32" t="s">
        <v>105</v>
      </c>
      <c r="F153" s="33">
        <v>12.0</v>
      </c>
      <c r="G153" s="33">
        <v>492.0</v>
      </c>
      <c r="H153" s="34">
        <v>28645.0</v>
      </c>
      <c r="I153" s="31">
        <v>1.0</v>
      </c>
      <c r="J153" s="35" t="s">
        <v>76</v>
      </c>
      <c r="K153" s="35" t="s">
        <v>75</v>
      </c>
      <c r="L153" s="35" t="s">
        <v>76</v>
      </c>
      <c r="M153" s="41">
        <v>14.0</v>
      </c>
      <c r="N153" s="30"/>
      <c r="O153" s="4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</row>
    <row r="154" ht="18.75" customHeight="1">
      <c r="A154" s="31">
        <v>4699.0</v>
      </c>
      <c r="B154" s="32" t="s">
        <v>345</v>
      </c>
      <c r="C154" s="32" t="s">
        <v>78</v>
      </c>
      <c r="D154" s="32" t="s">
        <v>77</v>
      </c>
      <c r="E154" s="32" t="s">
        <v>79</v>
      </c>
      <c r="F154" s="33">
        <v>13.0</v>
      </c>
      <c r="G154" s="33">
        <v>487.0</v>
      </c>
      <c r="H154" s="34">
        <v>34854.0</v>
      </c>
      <c r="I154" s="31">
        <v>2.0</v>
      </c>
      <c r="J154" s="35" t="s">
        <v>76</v>
      </c>
      <c r="K154" s="35" t="s">
        <v>75</v>
      </c>
      <c r="L154" s="35" t="s">
        <v>75</v>
      </c>
      <c r="M154" s="41">
        <v>270.0</v>
      </c>
      <c r="N154" s="30"/>
      <c r="O154" s="4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</row>
    <row r="155" ht="18.75" customHeight="1">
      <c r="A155" s="31">
        <v>4554.0</v>
      </c>
      <c r="B155" s="32" t="s">
        <v>272</v>
      </c>
      <c r="C155" s="32" t="s">
        <v>273</v>
      </c>
      <c r="D155" s="32" t="s">
        <v>273</v>
      </c>
      <c r="E155" s="32" t="s">
        <v>85</v>
      </c>
      <c r="F155" s="33">
        <v>8.0</v>
      </c>
      <c r="G155" s="33">
        <v>484.0</v>
      </c>
      <c r="H155" s="36">
        <v>23663.0</v>
      </c>
      <c r="I155" s="31">
        <v>4.0</v>
      </c>
      <c r="J155" s="35" t="s">
        <v>76</v>
      </c>
      <c r="K155" s="35" t="s">
        <v>75</v>
      </c>
      <c r="L155" s="35" t="s">
        <v>75</v>
      </c>
      <c r="M155" s="41">
        <v>207.0</v>
      </c>
      <c r="N155" s="30"/>
      <c r="O155" s="4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</row>
    <row r="156" ht="18.75" customHeight="1">
      <c r="A156" s="31">
        <v>5013.0</v>
      </c>
      <c r="B156" s="32" t="s">
        <v>77</v>
      </c>
      <c r="C156" s="32" t="s">
        <v>78</v>
      </c>
      <c r="D156" s="32" t="s">
        <v>77</v>
      </c>
      <c r="E156" s="32" t="s">
        <v>79</v>
      </c>
      <c r="F156" s="33">
        <v>10.0</v>
      </c>
      <c r="G156" s="33">
        <v>482.0</v>
      </c>
      <c r="H156" s="34">
        <v>20394.0</v>
      </c>
      <c r="I156" s="31">
        <v>1.0</v>
      </c>
      <c r="J156" s="35" t="s">
        <v>76</v>
      </c>
      <c r="K156" s="35" t="s">
        <v>75</v>
      </c>
      <c r="L156" s="35" t="s">
        <v>76</v>
      </c>
      <c r="M156" s="41">
        <v>148.0</v>
      </c>
      <c r="N156" s="30"/>
      <c r="O156" s="4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</row>
    <row r="157" ht="18.75" customHeight="1">
      <c r="A157" s="31">
        <v>3601.0</v>
      </c>
      <c r="B157" s="32" t="s">
        <v>195</v>
      </c>
      <c r="C157" s="32" t="s">
        <v>183</v>
      </c>
      <c r="D157" s="32" t="s">
        <v>183</v>
      </c>
      <c r="E157" s="32" t="s">
        <v>100</v>
      </c>
      <c r="F157" s="33">
        <v>7.0</v>
      </c>
      <c r="G157" s="33">
        <v>475.0</v>
      </c>
      <c r="H157" s="36">
        <v>20738.0</v>
      </c>
      <c r="I157" s="31">
        <v>5.0</v>
      </c>
      <c r="J157" s="35" t="s">
        <v>75</v>
      </c>
      <c r="K157" s="35" t="s">
        <v>75</v>
      </c>
      <c r="L157" s="35" t="s">
        <v>76</v>
      </c>
      <c r="M157" s="41">
        <v>54.0</v>
      </c>
      <c r="N157" s="30"/>
      <c r="O157" s="4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</row>
    <row r="158" ht="18.75" customHeight="1">
      <c r="A158" s="31">
        <v>2774.0</v>
      </c>
      <c r="B158" s="32" t="s">
        <v>308</v>
      </c>
      <c r="C158" s="32" t="s">
        <v>216</v>
      </c>
      <c r="D158" s="32" t="s">
        <v>216</v>
      </c>
      <c r="E158" s="32" t="s">
        <v>154</v>
      </c>
      <c r="F158" s="33">
        <v>13.0</v>
      </c>
      <c r="G158" s="33">
        <v>475.0</v>
      </c>
      <c r="H158" s="34">
        <v>20627.0</v>
      </c>
      <c r="I158" s="31">
        <v>10.0</v>
      </c>
      <c r="J158" s="35" t="s">
        <v>76</v>
      </c>
      <c r="K158" s="35" t="s">
        <v>76</v>
      </c>
      <c r="L158" s="35" t="s">
        <v>76</v>
      </c>
      <c r="M158" s="41">
        <v>236.0</v>
      </c>
      <c r="N158" s="30"/>
      <c r="O158" s="4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</row>
    <row r="159" ht="18.75" customHeight="1">
      <c r="A159" s="31">
        <v>3888.0</v>
      </c>
      <c r="B159" s="32" t="s">
        <v>72</v>
      </c>
      <c r="C159" s="32" t="s">
        <v>73</v>
      </c>
      <c r="D159" s="32" t="s">
        <v>72</v>
      </c>
      <c r="E159" s="32" t="s">
        <v>74</v>
      </c>
      <c r="F159" s="33">
        <v>8.0</v>
      </c>
      <c r="G159" s="33">
        <v>471.0</v>
      </c>
      <c r="H159" s="34">
        <v>32586.0</v>
      </c>
      <c r="I159" s="31">
        <v>8.0</v>
      </c>
      <c r="J159" s="35" t="s">
        <v>76</v>
      </c>
      <c r="K159" s="35" t="s">
        <v>76</v>
      </c>
      <c r="L159" s="35" t="s">
        <v>75</v>
      </c>
      <c r="M159" s="41">
        <v>133.0</v>
      </c>
      <c r="N159" s="30"/>
      <c r="O159" s="4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</row>
    <row r="160" ht="18.75" customHeight="1">
      <c r="A160" s="31">
        <v>3783.0</v>
      </c>
      <c r="B160" s="32" t="s">
        <v>115</v>
      </c>
      <c r="C160" s="32" t="s">
        <v>116</v>
      </c>
      <c r="D160" s="32" t="s">
        <v>116</v>
      </c>
      <c r="E160" s="32" t="s">
        <v>79</v>
      </c>
      <c r="F160" s="33">
        <v>6.0</v>
      </c>
      <c r="G160" s="33">
        <v>470.0</v>
      </c>
      <c r="H160" s="34">
        <v>31895.0</v>
      </c>
      <c r="I160" s="31">
        <v>2.0</v>
      </c>
      <c r="J160" s="35" t="s">
        <v>75</v>
      </c>
      <c r="K160" s="35" t="s">
        <v>75</v>
      </c>
      <c r="L160" s="35" t="s">
        <v>75</v>
      </c>
      <c r="M160" s="41">
        <v>16.0</v>
      </c>
      <c r="N160" s="30"/>
      <c r="O160" s="4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</row>
    <row r="161" ht="18.75" customHeight="1">
      <c r="A161" s="31">
        <v>5112.0</v>
      </c>
      <c r="B161" s="32" t="s">
        <v>77</v>
      </c>
      <c r="C161" s="32" t="s">
        <v>78</v>
      </c>
      <c r="D161" s="32" t="s">
        <v>77</v>
      </c>
      <c r="E161" s="32" t="s">
        <v>79</v>
      </c>
      <c r="F161" s="33">
        <v>9.0</v>
      </c>
      <c r="G161" s="33">
        <v>469.0</v>
      </c>
      <c r="H161" s="34">
        <v>21770.0</v>
      </c>
      <c r="I161" s="31">
        <v>3.0</v>
      </c>
      <c r="J161" s="35" t="s">
        <v>76</v>
      </c>
      <c r="K161" s="35" t="s">
        <v>76</v>
      </c>
      <c r="L161" s="35" t="s">
        <v>75</v>
      </c>
      <c r="M161" s="41">
        <v>160.0</v>
      </c>
      <c r="N161" s="30"/>
      <c r="O161" s="4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</row>
    <row r="162" ht="18.75" customHeight="1">
      <c r="A162" s="31">
        <v>5533.0</v>
      </c>
      <c r="B162" s="32" t="s">
        <v>77</v>
      </c>
      <c r="C162" s="32" t="s">
        <v>78</v>
      </c>
      <c r="D162" s="32" t="s">
        <v>77</v>
      </c>
      <c r="E162" s="32" t="s">
        <v>79</v>
      </c>
      <c r="F162" s="33">
        <v>5.0</v>
      </c>
      <c r="G162" s="33">
        <v>466.0</v>
      </c>
      <c r="H162" s="34">
        <v>20678.0</v>
      </c>
      <c r="I162" s="31">
        <v>2.0</v>
      </c>
      <c r="J162" s="35" t="s">
        <v>76</v>
      </c>
      <c r="K162" s="35" t="s">
        <v>76</v>
      </c>
      <c r="L162" s="35" t="s">
        <v>75</v>
      </c>
      <c r="M162" s="41">
        <v>106.0</v>
      </c>
      <c r="N162" s="30"/>
      <c r="O162" s="4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</row>
    <row r="163" ht="18.75" customHeight="1">
      <c r="A163" s="31">
        <v>2810.0</v>
      </c>
      <c r="B163" s="32" t="s">
        <v>372</v>
      </c>
      <c r="C163" s="32" t="s">
        <v>84</v>
      </c>
      <c r="D163" s="32" t="s">
        <v>83</v>
      </c>
      <c r="E163" s="32" t="s">
        <v>85</v>
      </c>
      <c r="F163" s="33">
        <v>3.0</v>
      </c>
      <c r="G163" s="33">
        <v>466.0</v>
      </c>
      <c r="H163" s="34">
        <v>34187.0</v>
      </c>
      <c r="I163" s="31">
        <v>10.0</v>
      </c>
      <c r="J163" s="35" t="s">
        <v>75</v>
      </c>
      <c r="K163" s="35" t="s">
        <v>75</v>
      </c>
      <c r="L163" s="35" t="s">
        <v>75</v>
      </c>
      <c r="M163" s="41">
        <v>292.0</v>
      </c>
      <c r="N163" s="30"/>
      <c r="O163" s="4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</row>
    <row r="164" ht="18.75" customHeight="1">
      <c r="A164" s="31">
        <v>3091.0</v>
      </c>
      <c r="B164" s="32" t="s">
        <v>325</v>
      </c>
      <c r="C164" s="32" t="s">
        <v>73</v>
      </c>
      <c r="D164" s="32" t="s">
        <v>72</v>
      </c>
      <c r="E164" s="32" t="s">
        <v>74</v>
      </c>
      <c r="F164" s="33">
        <v>7.0</v>
      </c>
      <c r="G164" s="33">
        <v>463.0</v>
      </c>
      <c r="H164" s="34">
        <v>26018.0</v>
      </c>
      <c r="I164" s="31">
        <v>4.0</v>
      </c>
      <c r="J164" s="35" t="s">
        <v>75</v>
      </c>
      <c r="K164" s="35" t="s">
        <v>76</v>
      </c>
      <c r="L164" s="35" t="s">
        <v>75</v>
      </c>
      <c r="M164" s="41">
        <v>252.0</v>
      </c>
      <c r="N164" s="30"/>
      <c r="O164" s="4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</row>
    <row r="165" ht="18.75" customHeight="1">
      <c r="A165" s="31">
        <v>5563.0</v>
      </c>
      <c r="B165" s="32" t="s">
        <v>377</v>
      </c>
      <c r="C165" s="32" t="s">
        <v>78</v>
      </c>
      <c r="D165" s="32" t="s">
        <v>77</v>
      </c>
      <c r="E165" s="32" t="s">
        <v>79</v>
      </c>
      <c r="F165" s="33">
        <v>6.0</v>
      </c>
      <c r="G165" s="33">
        <v>462.0</v>
      </c>
      <c r="H165" s="34">
        <v>22871.0</v>
      </c>
      <c r="I165" s="31">
        <v>6.0</v>
      </c>
      <c r="J165" s="35" t="s">
        <v>75</v>
      </c>
      <c r="K165" s="35" t="s">
        <v>75</v>
      </c>
      <c r="L165" s="35" t="s">
        <v>76</v>
      </c>
      <c r="M165" s="41">
        <v>297.0</v>
      </c>
      <c r="N165" s="30"/>
      <c r="O165" s="4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</row>
    <row r="166" ht="18.75" customHeight="1">
      <c r="A166" s="31">
        <v>5272.0</v>
      </c>
      <c r="B166" s="32" t="s">
        <v>80</v>
      </c>
      <c r="C166" s="32" t="s">
        <v>81</v>
      </c>
      <c r="D166" s="32" t="s">
        <v>80</v>
      </c>
      <c r="E166" s="32" t="s">
        <v>82</v>
      </c>
      <c r="F166" s="33">
        <v>13.0</v>
      </c>
      <c r="G166" s="33">
        <v>461.0</v>
      </c>
      <c r="H166" s="34">
        <v>28101.0</v>
      </c>
      <c r="I166" s="31">
        <v>9.0</v>
      </c>
      <c r="J166" s="35" t="s">
        <v>75</v>
      </c>
      <c r="K166" s="35" t="s">
        <v>75</v>
      </c>
      <c r="L166" s="35" t="s">
        <v>75</v>
      </c>
      <c r="M166" s="41">
        <v>123.0</v>
      </c>
      <c r="N166" s="30"/>
      <c r="O166" s="4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</row>
    <row r="167" ht="18.75" customHeight="1">
      <c r="A167" s="31">
        <v>3240.0</v>
      </c>
      <c r="B167" s="32" t="s">
        <v>80</v>
      </c>
      <c r="C167" s="32" t="s">
        <v>81</v>
      </c>
      <c r="D167" s="32" t="s">
        <v>80</v>
      </c>
      <c r="E167" s="32" t="s">
        <v>82</v>
      </c>
      <c r="F167" s="33">
        <v>3.0</v>
      </c>
      <c r="G167" s="33">
        <v>458.0</v>
      </c>
      <c r="H167" s="34">
        <v>34867.0</v>
      </c>
      <c r="I167" s="31">
        <v>6.0</v>
      </c>
      <c r="J167" s="35" t="s">
        <v>75</v>
      </c>
      <c r="K167" s="35" t="s">
        <v>76</v>
      </c>
      <c r="L167" s="35" t="s">
        <v>75</v>
      </c>
      <c r="M167" s="41">
        <v>92.0</v>
      </c>
      <c r="N167" s="30"/>
      <c r="O167" s="4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  <c r="AA167" s="30"/>
    </row>
    <row r="168" ht="18.75" customHeight="1">
      <c r="A168" s="31">
        <v>4951.0</v>
      </c>
      <c r="B168" s="32" t="s">
        <v>186</v>
      </c>
      <c r="C168" s="32" t="s">
        <v>162</v>
      </c>
      <c r="D168" s="32" t="s">
        <v>162</v>
      </c>
      <c r="E168" s="32" t="s">
        <v>94</v>
      </c>
      <c r="F168" s="33">
        <v>8.0</v>
      </c>
      <c r="G168" s="33">
        <v>457.0</v>
      </c>
      <c r="H168" s="34">
        <v>22102.0</v>
      </c>
      <c r="I168" s="31">
        <v>3.0</v>
      </c>
      <c r="J168" s="35" t="s">
        <v>76</v>
      </c>
      <c r="K168" s="35" t="s">
        <v>76</v>
      </c>
      <c r="L168" s="35" t="s">
        <v>76</v>
      </c>
      <c r="M168" s="41">
        <v>49.0</v>
      </c>
      <c r="N168" s="30"/>
      <c r="O168" s="4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</row>
    <row r="169" ht="18.75" customHeight="1">
      <c r="A169" s="31">
        <v>3567.0</v>
      </c>
      <c r="B169" s="32" t="s">
        <v>77</v>
      </c>
      <c r="C169" s="32" t="s">
        <v>78</v>
      </c>
      <c r="D169" s="32" t="s">
        <v>77</v>
      </c>
      <c r="E169" s="32" t="s">
        <v>79</v>
      </c>
      <c r="F169" s="33">
        <v>10.0</v>
      </c>
      <c r="G169" s="33">
        <v>452.0</v>
      </c>
      <c r="H169" s="34">
        <v>23247.0</v>
      </c>
      <c r="I169" s="31">
        <v>8.0</v>
      </c>
      <c r="J169" s="35" t="s">
        <v>75</v>
      </c>
      <c r="K169" s="35" t="s">
        <v>75</v>
      </c>
      <c r="L169" s="35" t="s">
        <v>75</v>
      </c>
      <c r="M169" s="41">
        <v>144.0</v>
      </c>
      <c r="N169" s="30"/>
      <c r="O169" s="4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</row>
    <row r="170" ht="18.75" customHeight="1">
      <c r="A170" s="31">
        <v>5411.0</v>
      </c>
      <c r="B170" s="32" t="s">
        <v>98</v>
      </c>
      <c r="C170" s="32" t="s">
        <v>99</v>
      </c>
      <c r="D170" s="32" t="s">
        <v>98</v>
      </c>
      <c r="E170" s="32" t="s">
        <v>100</v>
      </c>
      <c r="F170" s="33">
        <v>14.0</v>
      </c>
      <c r="G170" s="33">
        <v>446.0</v>
      </c>
      <c r="H170" s="34">
        <v>20863.0</v>
      </c>
      <c r="I170" s="31">
        <v>7.0</v>
      </c>
      <c r="J170" s="35" t="s">
        <v>76</v>
      </c>
      <c r="K170" s="35" t="s">
        <v>75</v>
      </c>
      <c r="L170" s="35" t="s">
        <v>75</v>
      </c>
      <c r="M170" s="41">
        <v>9.0</v>
      </c>
      <c r="N170" s="30"/>
      <c r="O170" s="4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</row>
    <row r="171" ht="18.75" customHeight="1">
      <c r="A171" s="31">
        <v>4561.0</v>
      </c>
      <c r="B171" s="32" t="s">
        <v>152</v>
      </c>
      <c r="C171" s="32" t="s">
        <v>153</v>
      </c>
      <c r="D171" s="32" t="s">
        <v>153</v>
      </c>
      <c r="E171" s="32" t="s">
        <v>154</v>
      </c>
      <c r="F171" s="33">
        <v>5.0</v>
      </c>
      <c r="G171" s="33">
        <v>445.0</v>
      </c>
      <c r="H171" s="36">
        <v>30296.0</v>
      </c>
      <c r="I171" s="31">
        <v>9.0</v>
      </c>
      <c r="J171" s="35" t="s">
        <v>75</v>
      </c>
      <c r="K171" s="35" t="s">
        <v>76</v>
      </c>
      <c r="L171" s="35" t="s">
        <v>76</v>
      </c>
      <c r="M171" s="41">
        <v>33.0</v>
      </c>
      <c r="N171" s="30"/>
      <c r="O171" s="4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</row>
    <row r="172" ht="18.75" customHeight="1">
      <c r="A172" s="31">
        <v>4297.0</v>
      </c>
      <c r="B172" s="32" t="s">
        <v>292</v>
      </c>
      <c r="C172" s="32" t="s">
        <v>109</v>
      </c>
      <c r="D172" s="32" t="s">
        <v>109</v>
      </c>
      <c r="E172" s="32" t="s">
        <v>88</v>
      </c>
      <c r="F172" s="33">
        <v>2.0</v>
      </c>
      <c r="G172" s="33">
        <v>444.0</v>
      </c>
      <c r="H172" s="34">
        <v>30340.0</v>
      </c>
      <c r="I172" s="31">
        <v>1.0</v>
      </c>
      <c r="J172" s="35" t="s">
        <v>76</v>
      </c>
      <c r="K172" s="35" t="s">
        <v>75</v>
      </c>
      <c r="L172" s="35" t="s">
        <v>76</v>
      </c>
      <c r="M172" s="41">
        <v>222.0</v>
      </c>
      <c r="N172" s="30"/>
      <c r="O172" s="4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</row>
    <row r="173" ht="18.75" customHeight="1">
      <c r="A173" s="31">
        <v>4924.0</v>
      </c>
      <c r="B173" s="32" t="s">
        <v>115</v>
      </c>
      <c r="C173" s="32" t="s">
        <v>116</v>
      </c>
      <c r="D173" s="32" t="s">
        <v>116</v>
      </c>
      <c r="E173" s="32" t="s">
        <v>79</v>
      </c>
      <c r="F173" s="33">
        <v>1.0</v>
      </c>
      <c r="G173" s="33">
        <v>432.0</v>
      </c>
      <c r="H173" s="34">
        <v>26551.0</v>
      </c>
      <c r="I173" s="31">
        <v>4.0</v>
      </c>
      <c r="J173" s="35" t="s">
        <v>76</v>
      </c>
      <c r="K173" s="35" t="s">
        <v>75</v>
      </c>
      <c r="L173" s="35" t="s">
        <v>76</v>
      </c>
      <c r="M173" s="41">
        <v>78.0</v>
      </c>
      <c r="N173" s="30"/>
      <c r="O173" s="4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  <c r="AA173" s="30"/>
    </row>
    <row r="174" ht="18.75" customHeight="1">
      <c r="A174" s="31">
        <v>4150.0</v>
      </c>
      <c r="B174" s="32" t="s">
        <v>150</v>
      </c>
      <c r="C174" s="32" t="s">
        <v>151</v>
      </c>
      <c r="D174" s="32" t="s">
        <v>150</v>
      </c>
      <c r="E174" s="32" t="s">
        <v>88</v>
      </c>
      <c r="F174" s="33">
        <v>1.0</v>
      </c>
      <c r="G174" s="33">
        <v>427.0</v>
      </c>
      <c r="H174" s="34">
        <v>29010.0</v>
      </c>
      <c r="I174" s="31">
        <v>1.0</v>
      </c>
      <c r="J174" s="35" t="s">
        <v>75</v>
      </c>
      <c r="K174" s="35" t="s">
        <v>76</v>
      </c>
      <c r="L174" s="35" t="s">
        <v>75</v>
      </c>
      <c r="M174" s="41">
        <v>32.0</v>
      </c>
      <c r="N174" s="30"/>
      <c r="O174" s="4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  <c r="AA174" s="30"/>
    </row>
    <row r="175" ht="18.75" customHeight="1">
      <c r="A175" s="31">
        <v>4448.0</v>
      </c>
      <c r="B175" s="32" t="s">
        <v>284</v>
      </c>
      <c r="C175" s="32" t="s">
        <v>285</v>
      </c>
      <c r="D175" s="32" t="s">
        <v>285</v>
      </c>
      <c r="E175" s="32" t="s">
        <v>179</v>
      </c>
      <c r="F175" s="33">
        <v>11.0</v>
      </c>
      <c r="G175" s="33">
        <v>427.0</v>
      </c>
      <c r="H175" s="36">
        <v>33558.0</v>
      </c>
      <c r="I175" s="31">
        <v>6.0</v>
      </c>
      <c r="J175" s="35" t="s">
        <v>76</v>
      </c>
      <c r="K175" s="35" t="s">
        <v>76</v>
      </c>
      <c r="L175" s="35" t="s">
        <v>75</v>
      </c>
      <c r="M175" s="41">
        <v>217.0</v>
      </c>
      <c r="N175" s="30"/>
      <c r="O175" s="4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</row>
    <row r="176" ht="18.75" customHeight="1">
      <c r="A176" s="31">
        <v>2890.0</v>
      </c>
      <c r="B176" s="32" t="s">
        <v>279</v>
      </c>
      <c r="C176" s="32" t="s">
        <v>203</v>
      </c>
      <c r="D176" s="32" t="s">
        <v>203</v>
      </c>
      <c r="E176" s="32" t="s">
        <v>97</v>
      </c>
      <c r="F176" s="33">
        <v>4.0</v>
      </c>
      <c r="G176" s="33">
        <v>424.0</v>
      </c>
      <c r="H176" s="36">
        <v>27381.0</v>
      </c>
      <c r="I176" s="31">
        <v>6.0</v>
      </c>
      <c r="J176" s="35" t="s">
        <v>75</v>
      </c>
      <c r="K176" s="35" t="s">
        <v>76</v>
      </c>
      <c r="L176" s="35" t="s">
        <v>75</v>
      </c>
      <c r="M176" s="41">
        <v>212.0</v>
      </c>
      <c r="N176" s="30"/>
      <c r="O176" s="4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  <c r="AA176" s="30"/>
    </row>
    <row r="177" ht="18.75" customHeight="1">
      <c r="A177" s="31">
        <v>2500.0</v>
      </c>
      <c r="B177" s="32" t="s">
        <v>362</v>
      </c>
      <c r="C177" s="32" t="s">
        <v>147</v>
      </c>
      <c r="D177" s="32" t="s">
        <v>147</v>
      </c>
      <c r="E177" s="32" t="s">
        <v>94</v>
      </c>
      <c r="F177" s="33">
        <v>13.0</v>
      </c>
      <c r="G177" s="33">
        <v>424.0</v>
      </c>
      <c r="H177" s="34">
        <v>27642.0</v>
      </c>
      <c r="I177" s="31">
        <v>1.0</v>
      </c>
      <c r="J177" s="35" t="s">
        <v>75</v>
      </c>
      <c r="K177" s="35" t="s">
        <v>75</v>
      </c>
      <c r="L177" s="35" t="s">
        <v>75</v>
      </c>
      <c r="M177" s="41">
        <v>284.0</v>
      </c>
      <c r="N177" s="30"/>
      <c r="O177" s="4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</row>
    <row r="178" ht="18.75" customHeight="1">
      <c r="A178" s="31">
        <v>3753.0</v>
      </c>
      <c r="B178" s="32" t="s">
        <v>135</v>
      </c>
      <c r="C178" s="32" t="s">
        <v>136</v>
      </c>
      <c r="D178" s="32" t="s">
        <v>136</v>
      </c>
      <c r="E178" s="32" t="s">
        <v>94</v>
      </c>
      <c r="F178" s="33">
        <v>6.0</v>
      </c>
      <c r="G178" s="33">
        <v>421.0</v>
      </c>
      <c r="H178" s="34">
        <v>21163.0</v>
      </c>
      <c r="I178" s="31">
        <v>9.0</v>
      </c>
      <c r="J178" s="35" t="s">
        <v>76</v>
      </c>
      <c r="K178" s="35" t="s">
        <v>75</v>
      </c>
      <c r="L178" s="35" t="s">
        <v>75</v>
      </c>
      <c r="M178" s="41">
        <v>87.0</v>
      </c>
      <c r="N178" s="30"/>
      <c r="O178" s="4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  <c r="AA178" s="30"/>
    </row>
    <row r="179" ht="18.75" customHeight="1">
      <c r="A179" s="31">
        <v>2354.0</v>
      </c>
      <c r="B179" s="32" t="s">
        <v>72</v>
      </c>
      <c r="C179" s="32" t="s">
        <v>73</v>
      </c>
      <c r="D179" s="32" t="s">
        <v>72</v>
      </c>
      <c r="E179" s="32" t="s">
        <v>74</v>
      </c>
      <c r="F179" s="33">
        <v>11.0</v>
      </c>
      <c r="G179" s="33">
        <v>418.0</v>
      </c>
      <c r="H179" s="34">
        <v>23459.0</v>
      </c>
      <c r="I179" s="31">
        <v>4.0</v>
      </c>
      <c r="J179" s="35" t="s">
        <v>75</v>
      </c>
      <c r="K179" s="35" t="s">
        <v>75</v>
      </c>
      <c r="L179" s="35" t="s">
        <v>76</v>
      </c>
      <c r="M179" s="41">
        <v>129.0</v>
      </c>
      <c r="N179" s="30"/>
      <c r="O179" s="4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  <c r="AA179" s="30"/>
    </row>
    <row r="180" ht="18.75" customHeight="1">
      <c r="A180" s="31">
        <v>4662.0</v>
      </c>
      <c r="B180" s="32" t="s">
        <v>108</v>
      </c>
      <c r="C180" s="32" t="s">
        <v>109</v>
      </c>
      <c r="D180" s="32" t="s">
        <v>109</v>
      </c>
      <c r="E180" s="32" t="s">
        <v>88</v>
      </c>
      <c r="F180" s="33">
        <v>1.0</v>
      </c>
      <c r="G180" s="33">
        <v>417.0</v>
      </c>
      <c r="H180" s="34">
        <v>22115.0</v>
      </c>
      <c r="I180" s="31">
        <v>9.0</v>
      </c>
      <c r="J180" s="35" t="s">
        <v>75</v>
      </c>
      <c r="K180" s="35" t="s">
        <v>75</v>
      </c>
      <c r="L180" s="35" t="s">
        <v>75</v>
      </c>
      <c r="M180" s="41">
        <v>102.0</v>
      </c>
      <c r="N180" s="30"/>
      <c r="O180" s="4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  <c r="AA180" s="30"/>
    </row>
    <row r="181" ht="18.75" customHeight="1">
      <c r="A181" s="31">
        <v>4149.0</v>
      </c>
      <c r="B181" s="32" t="s">
        <v>302</v>
      </c>
      <c r="C181" s="32" t="s">
        <v>178</v>
      </c>
      <c r="D181" s="32" t="s">
        <v>177</v>
      </c>
      <c r="E181" s="32" t="s">
        <v>179</v>
      </c>
      <c r="F181" s="33">
        <v>4.0</v>
      </c>
      <c r="G181" s="33">
        <v>409.0</v>
      </c>
      <c r="H181" s="36">
        <v>21173.0</v>
      </c>
      <c r="I181" s="31">
        <v>3.0</v>
      </c>
      <c r="J181" s="35" t="s">
        <v>75</v>
      </c>
      <c r="K181" s="35" t="s">
        <v>75</v>
      </c>
      <c r="L181" s="35" t="s">
        <v>75</v>
      </c>
      <c r="M181" s="41">
        <v>231.0</v>
      </c>
      <c r="N181" s="30"/>
      <c r="O181" s="4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  <c r="AA181" s="30"/>
    </row>
    <row r="182" ht="18.75" customHeight="1">
      <c r="A182" s="31">
        <v>4331.0</v>
      </c>
      <c r="B182" s="32" t="s">
        <v>304</v>
      </c>
      <c r="C182" s="32" t="s">
        <v>305</v>
      </c>
      <c r="D182" s="32" t="s">
        <v>391</v>
      </c>
      <c r="E182" s="32" t="s">
        <v>125</v>
      </c>
      <c r="F182" s="33">
        <v>15.0</v>
      </c>
      <c r="G182" s="33">
        <v>408.0</v>
      </c>
      <c r="H182" s="34">
        <v>26758.0</v>
      </c>
      <c r="I182" s="31">
        <v>7.0</v>
      </c>
      <c r="J182" s="35" t="s">
        <v>75</v>
      </c>
      <c r="K182" s="35" t="s">
        <v>76</v>
      </c>
      <c r="L182" s="35" t="s">
        <v>75</v>
      </c>
      <c r="M182" s="41">
        <v>233.0</v>
      </c>
      <c r="N182" s="30"/>
      <c r="O182" s="4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  <c r="AA182" s="30"/>
    </row>
    <row r="183" ht="18.75" customHeight="1">
      <c r="A183" s="31">
        <v>4941.0</v>
      </c>
      <c r="B183" s="32" t="s">
        <v>80</v>
      </c>
      <c r="C183" s="32" t="s">
        <v>81</v>
      </c>
      <c r="D183" s="32" t="s">
        <v>80</v>
      </c>
      <c r="E183" s="32" t="s">
        <v>82</v>
      </c>
      <c r="F183" s="33">
        <v>1.0</v>
      </c>
      <c r="G183" s="33">
        <v>406.0</v>
      </c>
      <c r="H183" s="34">
        <v>27628.0</v>
      </c>
      <c r="I183" s="31">
        <v>2.0</v>
      </c>
      <c r="J183" s="35" t="s">
        <v>75</v>
      </c>
      <c r="K183" s="35" t="s">
        <v>75</v>
      </c>
      <c r="L183" s="35" t="s">
        <v>75</v>
      </c>
      <c r="M183" s="41">
        <v>115.0</v>
      </c>
      <c r="N183" s="30"/>
      <c r="O183" s="4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  <c r="AA183" s="30"/>
    </row>
    <row r="184" ht="18.75" customHeight="1">
      <c r="A184" s="31">
        <v>5592.0</v>
      </c>
      <c r="B184" s="32" t="s">
        <v>300</v>
      </c>
      <c r="C184" s="32" t="s">
        <v>285</v>
      </c>
      <c r="D184" s="32" t="s">
        <v>285</v>
      </c>
      <c r="E184" s="32" t="s">
        <v>179</v>
      </c>
      <c r="F184" s="33">
        <v>6.0</v>
      </c>
      <c r="G184" s="33">
        <v>403.0</v>
      </c>
      <c r="H184" s="34">
        <v>23468.0</v>
      </c>
      <c r="I184" s="31">
        <v>5.0</v>
      </c>
      <c r="J184" s="35" t="s">
        <v>75</v>
      </c>
      <c r="K184" s="35" t="s">
        <v>76</v>
      </c>
      <c r="L184" s="35" t="s">
        <v>75</v>
      </c>
      <c r="M184" s="41">
        <v>229.0</v>
      </c>
      <c r="N184" s="30"/>
      <c r="O184" s="4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  <c r="AA184" s="30"/>
    </row>
    <row r="185" ht="18.75" customHeight="1">
      <c r="A185" s="31">
        <v>2673.0</v>
      </c>
      <c r="B185" s="32" t="s">
        <v>311</v>
      </c>
      <c r="C185" s="32" t="s">
        <v>312</v>
      </c>
      <c r="D185" s="32" t="s">
        <v>312</v>
      </c>
      <c r="E185" s="32" t="s">
        <v>79</v>
      </c>
      <c r="F185" s="33">
        <v>6.0</v>
      </c>
      <c r="G185" s="33">
        <v>403.0</v>
      </c>
      <c r="H185" s="34">
        <v>20878.0</v>
      </c>
      <c r="I185" s="31">
        <v>10.0</v>
      </c>
      <c r="J185" s="35" t="s">
        <v>75</v>
      </c>
      <c r="K185" s="35" t="s">
        <v>75</v>
      </c>
      <c r="L185" s="35" t="s">
        <v>75</v>
      </c>
      <c r="M185" s="41">
        <v>239.0</v>
      </c>
      <c r="N185" s="30"/>
      <c r="O185" s="4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  <c r="AA185" s="30"/>
    </row>
    <row r="186" ht="18.75" customHeight="1">
      <c r="A186" s="31">
        <v>5413.0</v>
      </c>
      <c r="B186" s="32" t="s">
        <v>83</v>
      </c>
      <c r="C186" s="32" t="s">
        <v>84</v>
      </c>
      <c r="D186" s="32" t="s">
        <v>83</v>
      </c>
      <c r="E186" s="32" t="s">
        <v>85</v>
      </c>
      <c r="F186" s="33">
        <v>5.0</v>
      </c>
      <c r="G186" s="33">
        <v>400.0</v>
      </c>
      <c r="H186" s="34">
        <v>21750.0</v>
      </c>
      <c r="I186" s="31">
        <v>6.0</v>
      </c>
      <c r="J186" s="35" t="s">
        <v>75</v>
      </c>
      <c r="K186" s="35" t="s">
        <v>75</v>
      </c>
      <c r="L186" s="35" t="s">
        <v>75</v>
      </c>
      <c r="M186" s="41">
        <v>136.0</v>
      </c>
      <c r="N186" s="30"/>
      <c r="O186" s="4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  <c r="AA186" s="30"/>
    </row>
    <row r="187" ht="18.75" customHeight="1">
      <c r="A187" s="31">
        <v>4502.0</v>
      </c>
      <c r="B187" s="32" t="s">
        <v>249</v>
      </c>
      <c r="C187" s="32" t="s">
        <v>84</v>
      </c>
      <c r="D187" s="32" t="s">
        <v>83</v>
      </c>
      <c r="E187" s="32" t="s">
        <v>85</v>
      </c>
      <c r="F187" s="33">
        <v>15.0</v>
      </c>
      <c r="G187" s="33">
        <v>397.0</v>
      </c>
      <c r="H187" s="36">
        <v>22972.0</v>
      </c>
      <c r="I187" s="31">
        <v>3.0</v>
      </c>
      <c r="J187" s="35" t="s">
        <v>76</v>
      </c>
      <c r="K187" s="35" t="s">
        <v>76</v>
      </c>
      <c r="L187" s="35" t="s">
        <v>75</v>
      </c>
      <c r="M187" s="41">
        <v>189.0</v>
      </c>
      <c r="N187" s="30"/>
      <c r="O187" s="4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  <c r="AA187" s="30"/>
    </row>
    <row r="188" ht="18.75" customHeight="1">
      <c r="A188" s="31">
        <v>2826.0</v>
      </c>
      <c r="B188" s="32" t="s">
        <v>101</v>
      </c>
      <c r="C188" s="32" t="s">
        <v>102</v>
      </c>
      <c r="D188" s="32" t="s">
        <v>101</v>
      </c>
      <c r="E188" s="32" t="s">
        <v>88</v>
      </c>
      <c r="F188" s="33">
        <v>8.0</v>
      </c>
      <c r="G188" s="33">
        <v>391.0</v>
      </c>
      <c r="H188" s="34">
        <v>29103.0</v>
      </c>
      <c r="I188" s="31">
        <v>5.0</v>
      </c>
      <c r="J188" s="35" t="s">
        <v>75</v>
      </c>
      <c r="K188" s="35" t="s">
        <v>76</v>
      </c>
      <c r="L188" s="35" t="s">
        <v>75</v>
      </c>
      <c r="M188" s="41">
        <v>99.0</v>
      </c>
      <c r="N188" s="30"/>
      <c r="O188" s="4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  <c r="AA188" s="30"/>
    </row>
    <row r="189" ht="18.75" customHeight="1">
      <c r="A189" s="31">
        <v>2382.0</v>
      </c>
      <c r="B189" s="32" t="s">
        <v>373</v>
      </c>
      <c r="C189" s="32" t="s">
        <v>81</v>
      </c>
      <c r="D189" s="32" t="s">
        <v>80</v>
      </c>
      <c r="E189" s="32" t="s">
        <v>82</v>
      </c>
      <c r="F189" s="33">
        <v>8.0</v>
      </c>
      <c r="G189" s="33">
        <v>391.0</v>
      </c>
      <c r="H189" s="34">
        <v>34346.0</v>
      </c>
      <c r="I189" s="31">
        <v>10.0</v>
      </c>
      <c r="J189" s="35" t="s">
        <v>75</v>
      </c>
      <c r="K189" s="35" t="s">
        <v>75</v>
      </c>
      <c r="L189" s="35" t="s">
        <v>76</v>
      </c>
      <c r="M189" s="41">
        <v>293.0</v>
      </c>
      <c r="N189" s="30"/>
      <c r="O189" s="4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  <c r="AA189" s="30"/>
    </row>
    <row r="190" ht="18.75" customHeight="1">
      <c r="A190" s="31">
        <v>4736.0</v>
      </c>
      <c r="B190" s="32" t="s">
        <v>140</v>
      </c>
      <c r="C190" s="32" t="s">
        <v>141</v>
      </c>
      <c r="D190" s="32" t="s">
        <v>141</v>
      </c>
      <c r="E190" s="32" t="s">
        <v>100</v>
      </c>
      <c r="F190" s="33">
        <v>10.0</v>
      </c>
      <c r="G190" s="33">
        <v>387.0</v>
      </c>
      <c r="H190" s="34">
        <v>26011.0</v>
      </c>
      <c r="I190" s="31">
        <v>7.0</v>
      </c>
      <c r="J190" s="35" t="s">
        <v>75</v>
      </c>
      <c r="K190" s="35" t="s">
        <v>75</v>
      </c>
      <c r="L190" s="35" t="s">
        <v>76</v>
      </c>
      <c r="M190" s="41">
        <v>27.0</v>
      </c>
      <c r="N190" s="30"/>
      <c r="O190" s="4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  <c r="AA190" s="30"/>
    </row>
    <row r="191" ht="18.75" customHeight="1">
      <c r="A191" s="31">
        <v>5381.0</v>
      </c>
      <c r="B191" s="32" t="s">
        <v>80</v>
      </c>
      <c r="C191" s="32" t="s">
        <v>81</v>
      </c>
      <c r="D191" s="32" t="s">
        <v>80</v>
      </c>
      <c r="E191" s="32" t="s">
        <v>82</v>
      </c>
      <c r="F191" s="33">
        <v>7.0</v>
      </c>
      <c r="G191" s="33">
        <v>387.0</v>
      </c>
      <c r="H191" s="34">
        <v>20270.0</v>
      </c>
      <c r="I191" s="31">
        <v>4.0</v>
      </c>
      <c r="J191" s="35" t="s">
        <v>76</v>
      </c>
      <c r="K191" s="35" t="s">
        <v>75</v>
      </c>
      <c r="L191" s="35" t="s">
        <v>76</v>
      </c>
      <c r="M191" s="41">
        <v>127.0</v>
      </c>
      <c r="N191" s="30"/>
      <c r="O191" s="4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  <c r="AA191" s="30"/>
    </row>
    <row r="192" ht="18.75" customHeight="1">
      <c r="A192" s="31">
        <v>4894.0</v>
      </c>
      <c r="B192" s="32" t="s">
        <v>246</v>
      </c>
      <c r="C192" s="32" t="s">
        <v>84</v>
      </c>
      <c r="D192" s="32" t="s">
        <v>83</v>
      </c>
      <c r="E192" s="32" t="s">
        <v>85</v>
      </c>
      <c r="F192" s="33">
        <v>6.0</v>
      </c>
      <c r="G192" s="33">
        <v>387.0</v>
      </c>
      <c r="H192" s="34">
        <v>27818.0</v>
      </c>
      <c r="I192" s="31">
        <v>7.0</v>
      </c>
      <c r="J192" s="35" t="s">
        <v>76</v>
      </c>
      <c r="K192" s="35" t="s">
        <v>76</v>
      </c>
      <c r="L192" s="35" t="s">
        <v>76</v>
      </c>
      <c r="M192" s="41">
        <v>186.0</v>
      </c>
      <c r="N192" s="30"/>
      <c r="O192" s="4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  <c r="AA192" s="30"/>
    </row>
    <row r="193" ht="18.75" customHeight="1">
      <c r="A193" s="31">
        <v>2546.0</v>
      </c>
      <c r="B193" s="32" t="s">
        <v>315</v>
      </c>
      <c r="C193" s="32" t="s">
        <v>102</v>
      </c>
      <c r="D193" s="32" t="s">
        <v>101</v>
      </c>
      <c r="E193" s="32" t="s">
        <v>88</v>
      </c>
      <c r="F193" s="33">
        <v>15.0</v>
      </c>
      <c r="G193" s="33">
        <v>382.0</v>
      </c>
      <c r="H193" s="34">
        <v>26356.0</v>
      </c>
      <c r="I193" s="31">
        <v>4.0</v>
      </c>
      <c r="J193" s="35" t="s">
        <v>75</v>
      </c>
      <c r="K193" s="35" t="s">
        <v>75</v>
      </c>
      <c r="L193" s="35" t="s">
        <v>76</v>
      </c>
      <c r="M193" s="41">
        <v>242.0</v>
      </c>
      <c r="N193" s="30"/>
      <c r="O193" s="4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  <c r="AA193" s="30"/>
    </row>
    <row r="194" ht="18.75" customHeight="1">
      <c r="A194" s="31">
        <v>2336.0</v>
      </c>
      <c r="B194" s="32" t="s">
        <v>77</v>
      </c>
      <c r="C194" s="32" t="s">
        <v>78</v>
      </c>
      <c r="D194" s="32" t="s">
        <v>77</v>
      </c>
      <c r="E194" s="32" t="s">
        <v>79</v>
      </c>
      <c r="F194" s="33">
        <v>4.0</v>
      </c>
      <c r="G194" s="33">
        <v>379.0</v>
      </c>
      <c r="H194" s="34">
        <v>34585.0</v>
      </c>
      <c r="I194" s="31">
        <v>1.0</v>
      </c>
      <c r="J194" s="35" t="s">
        <v>76</v>
      </c>
      <c r="K194" s="35" t="s">
        <v>76</v>
      </c>
      <c r="L194" s="35" t="s">
        <v>76</v>
      </c>
      <c r="M194" s="41">
        <v>126.0</v>
      </c>
      <c r="N194" s="30"/>
      <c r="O194" s="4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  <c r="AA194" s="30"/>
    </row>
    <row r="195" ht="18.75" customHeight="1">
      <c r="A195" s="31">
        <v>4104.0</v>
      </c>
      <c r="B195" s="32" t="s">
        <v>89</v>
      </c>
      <c r="C195" s="32" t="s">
        <v>90</v>
      </c>
      <c r="D195" s="32" t="s">
        <v>89</v>
      </c>
      <c r="E195" s="32" t="s">
        <v>91</v>
      </c>
      <c r="F195" s="33">
        <v>1.0</v>
      </c>
      <c r="G195" s="33">
        <v>376.0</v>
      </c>
      <c r="H195" s="34">
        <v>27425.0</v>
      </c>
      <c r="I195" s="31">
        <v>7.0</v>
      </c>
      <c r="J195" s="35" t="s">
        <v>75</v>
      </c>
      <c r="K195" s="35" t="s">
        <v>75</v>
      </c>
      <c r="L195" s="35" t="s">
        <v>76</v>
      </c>
      <c r="M195" s="41">
        <v>6.0</v>
      </c>
      <c r="N195" s="30"/>
      <c r="O195" s="4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  <c r="AA195" s="30"/>
    </row>
    <row r="196" ht="18.75" customHeight="1">
      <c r="A196" s="31">
        <v>5255.0</v>
      </c>
      <c r="B196" s="32" t="s">
        <v>215</v>
      </c>
      <c r="C196" s="32" t="s">
        <v>216</v>
      </c>
      <c r="D196" s="32" t="s">
        <v>216</v>
      </c>
      <c r="E196" s="32" t="s">
        <v>154</v>
      </c>
      <c r="F196" s="33">
        <v>4.0</v>
      </c>
      <c r="G196" s="33">
        <v>375.0</v>
      </c>
      <c r="H196" s="34">
        <v>25006.0</v>
      </c>
      <c r="I196" s="31">
        <v>1.0</v>
      </c>
      <c r="J196" s="35" t="s">
        <v>75</v>
      </c>
      <c r="K196" s="35" t="s">
        <v>76</v>
      </c>
      <c r="L196" s="35" t="s">
        <v>76</v>
      </c>
      <c r="M196" s="41">
        <v>164.0</v>
      </c>
      <c r="N196" s="30"/>
      <c r="O196" s="4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  <c r="AA196" s="30"/>
    </row>
    <row r="197" ht="18.75" customHeight="1">
      <c r="A197" s="31">
        <v>4312.0</v>
      </c>
      <c r="B197" s="32" t="s">
        <v>126</v>
      </c>
      <c r="C197" s="32" t="s">
        <v>127</v>
      </c>
      <c r="D197" s="32" t="s">
        <v>126</v>
      </c>
      <c r="E197" s="32" t="s">
        <v>94</v>
      </c>
      <c r="F197" s="33">
        <v>14.0</v>
      </c>
      <c r="G197" s="33">
        <v>374.0</v>
      </c>
      <c r="H197" s="34">
        <v>33842.0</v>
      </c>
      <c r="I197" s="31">
        <v>1.0</v>
      </c>
      <c r="J197" s="35" t="s">
        <v>76</v>
      </c>
      <c r="K197" s="35" t="s">
        <v>76</v>
      </c>
      <c r="L197" s="35" t="s">
        <v>76</v>
      </c>
      <c r="M197" s="41">
        <v>83.0</v>
      </c>
      <c r="N197" s="30"/>
      <c r="O197" s="4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  <c r="AA197" s="30"/>
    </row>
    <row r="198" ht="18.75" customHeight="1">
      <c r="A198" s="31">
        <v>4382.0</v>
      </c>
      <c r="B198" s="32" t="s">
        <v>218</v>
      </c>
      <c r="C198" s="32" t="s">
        <v>145</v>
      </c>
      <c r="D198" s="32" t="s">
        <v>144</v>
      </c>
      <c r="E198" s="32" t="s">
        <v>82</v>
      </c>
      <c r="F198" s="33">
        <v>3.0</v>
      </c>
      <c r="G198" s="33">
        <v>372.0</v>
      </c>
      <c r="H198" s="34">
        <v>30426.0</v>
      </c>
      <c r="I198" s="31">
        <v>5.0</v>
      </c>
      <c r="J198" s="35" t="s">
        <v>75</v>
      </c>
      <c r="K198" s="35" t="s">
        <v>75</v>
      </c>
      <c r="L198" s="35" t="s">
        <v>76</v>
      </c>
      <c r="M198" s="41">
        <v>166.0</v>
      </c>
      <c r="N198" s="30"/>
      <c r="O198" s="4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  <c r="AA198" s="30"/>
    </row>
    <row r="199" ht="18.75" customHeight="1">
      <c r="A199" s="31">
        <v>4332.0</v>
      </c>
      <c r="B199" s="32" t="s">
        <v>163</v>
      </c>
      <c r="C199" s="32" t="s">
        <v>81</v>
      </c>
      <c r="D199" s="32" t="s">
        <v>80</v>
      </c>
      <c r="E199" s="32" t="s">
        <v>82</v>
      </c>
      <c r="F199" s="33">
        <v>9.0</v>
      </c>
      <c r="G199" s="33">
        <v>365.0</v>
      </c>
      <c r="H199" s="34">
        <v>28930.0</v>
      </c>
      <c r="I199" s="31">
        <v>4.0</v>
      </c>
      <c r="J199" s="35" t="s">
        <v>75</v>
      </c>
      <c r="K199" s="35" t="s">
        <v>76</v>
      </c>
      <c r="L199" s="35" t="s">
        <v>76</v>
      </c>
      <c r="M199" s="41">
        <v>38.0</v>
      </c>
      <c r="N199" s="30"/>
      <c r="O199" s="4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  <c r="AA199" s="30"/>
    </row>
    <row r="200" ht="18.75" customHeight="1">
      <c r="A200" s="31">
        <v>5063.0</v>
      </c>
      <c r="B200" s="32" t="s">
        <v>121</v>
      </c>
      <c r="C200" s="32" t="s">
        <v>122</v>
      </c>
      <c r="D200" s="32" t="s">
        <v>122</v>
      </c>
      <c r="E200" s="32" t="s">
        <v>94</v>
      </c>
      <c r="F200" s="33">
        <v>13.0</v>
      </c>
      <c r="G200" s="33">
        <v>364.0</v>
      </c>
      <c r="H200" s="34">
        <v>21654.0</v>
      </c>
      <c r="I200" s="31">
        <v>4.0</v>
      </c>
      <c r="J200" s="35" t="s">
        <v>75</v>
      </c>
      <c r="K200" s="35" t="s">
        <v>76</v>
      </c>
      <c r="L200" s="35" t="s">
        <v>76</v>
      </c>
      <c r="M200" s="41">
        <v>19.0</v>
      </c>
      <c r="N200" s="30"/>
      <c r="O200" s="4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  <c r="AA200" s="30"/>
    </row>
    <row r="201" ht="18.75" customHeight="1">
      <c r="A201" s="31">
        <v>4602.0</v>
      </c>
      <c r="B201" s="32" t="s">
        <v>258</v>
      </c>
      <c r="C201" s="32" t="s">
        <v>96</v>
      </c>
      <c r="D201" s="32" t="s">
        <v>96</v>
      </c>
      <c r="E201" s="32" t="s">
        <v>97</v>
      </c>
      <c r="F201" s="33">
        <v>4.0</v>
      </c>
      <c r="G201" s="33">
        <v>362.0</v>
      </c>
      <c r="H201" s="34">
        <v>20831.0</v>
      </c>
      <c r="I201" s="31">
        <v>10.0</v>
      </c>
      <c r="J201" s="35" t="s">
        <v>76</v>
      </c>
      <c r="K201" s="35" t="s">
        <v>76</v>
      </c>
      <c r="L201" s="35" t="s">
        <v>76</v>
      </c>
      <c r="M201" s="41">
        <v>195.0</v>
      </c>
      <c r="N201" s="30"/>
      <c r="O201" s="4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  <c r="AA201" s="30"/>
    </row>
    <row r="202" ht="18.75" customHeight="1">
      <c r="A202" s="31">
        <v>3190.0</v>
      </c>
      <c r="B202" s="32" t="s">
        <v>332</v>
      </c>
      <c r="C202" s="32" t="s">
        <v>84</v>
      </c>
      <c r="D202" s="32" t="s">
        <v>83</v>
      </c>
      <c r="E202" s="32" t="s">
        <v>85</v>
      </c>
      <c r="F202" s="33">
        <v>14.0</v>
      </c>
      <c r="G202" s="33">
        <v>356.0</v>
      </c>
      <c r="H202" s="34">
        <v>31433.0</v>
      </c>
      <c r="I202" s="31">
        <v>9.0</v>
      </c>
      <c r="J202" s="35" t="s">
        <v>75</v>
      </c>
      <c r="K202" s="35" t="s">
        <v>75</v>
      </c>
      <c r="L202" s="35" t="s">
        <v>76</v>
      </c>
      <c r="M202" s="41">
        <v>259.0</v>
      </c>
      <c r="N202" s="30"/>
      <c r="O202" s="4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  <c r="AA202" s="30"/>
    </row>
    <row r="203" ht="18.75" customHeight="1">
      <c r="A203" s="31">
        <v>2317.0</v>
      </c>
      <c r="B203" s="32" t="s">
        <v>72</v>
      </c>
      <c r="C203" s="32" t="s">
        <v>73</v>
      </c>
      <c r="D203" s="32" t="s">
        <v>72</v>
      </c>
      <c r="E203" s="32" t="s">
        <v>74</v>
      </c>
      <c r="F203" s="33">
        <v>6.0</v>
      </c>
      <c r="G203" s="33">
        <v>353.0</v>
      </c>
      <c r="H203" s="34">
        <v>21325.0</v>
      </c>
      <c r="I203" s="31">
        <v>2.0</v>
      </c>
      <c r="J203" s="35" t="s">
        <v>75</v>
      </c>
      <c r="K203" s="35" t="s">
        <v>75</v>
      </c>
      <c r="L203" s="35" t="s">
        <v>76</v>
      </c>
      <c r="M203" s="41">
        <v>1.0</v>
      </c>
      <c r="N203" s="30"/>
      <c r="O203" s="4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  <c r="AA203" s="30"/>
    </row>
    <row r="204" ht="18.75" customHeight="1">
      <c r="A204" s="31">
        <v>2532.0</v>
      </c>
      <c r="B204" s="32" t="s">
        <v>164</v>
      </c>
      <c r="C204" s="32" t="s">
        <v>165</v>
      </c>
      <c r="D204" s="32" t="s">
        <v>165</v>
      </c>
      <c r="E204" s="32" t="s">
        <v>166</v>
      </c>
      <c r="F204" s="33">
        <v>13.0</v>
      </c>
      <c r="G204" s="33">
        <v>353.0</v>
      </c>
      <c r="H204" s="34">
        <v>29038.0</v>
      </c>
      <c r="I204" s="31">
        <v>4.0</v>
      </c>
      <c r="J204" s="35" t="s">
        <v>76</v>
      </c>
      <c r="K204" s="35" t="s">
        <v>75</v>
      </c>
      <c r="L204" s="35" t="s">
        <v>76</v>
      </c>
      <c r="M204" s="41">
        <v>39.0</v>
      </c>
      <c r="N204" s="30"/>
      <c r="O204" s="4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  <c r="AA204" s="30"/>
    </row>
    <row r="205" ht="18.75" customHeight="1">
      <c r="A205" s="31">
        <v>4124.0</v>
      </c>
      <c r="B205" s="32" t="s">
        <v>296</v>
      </c>
      <c r="C205" s="32" t="s">
        <v>297</v>
      </c>
      <c r="D205" s="32" t="s">
        <v>390</v>
      </c>
      <c r="E205" s="32" t="s">
        <v>88</v>
      </c>
      <c r="F205" s="33">
        <v>15.0</v>
      </c>
      <c r="G205" s="33">
        <v>353.0</v>
      </c>
      <c r="H205" s="34">
        <v>22259.0</v>
      </c>
      <c r="I205" s="31">
        <v>2.0</v>
      </c>
      <c r="J205" s="35" t="s">
        <v>75</v>
      </c>
      <c r="K205" s="35" t="s">
        <v>75</v>
      </c>
      <c r="L205" s="35" t="s">
        <v>76</v>
      </c>
      <c r="M205" s="41">
        <v>226.0</v>
      </c>
      <c r="N205" s="30"/>
      <c r="O205" s="4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  <c r="AA205" s="30"/>
    </row>
    <row r="206" ht="18.75" customHeight="1">
      <c r="A206" s="31">
        <v>5256.0</v>
      </c>
      <c r="B206" s="32" t="s">
        <v>359</v>
      </c>
      <c r="C206" s="32" t="s">
        <v>93</v>
      </c>
      <c r="D206" s="32" t="s">
        <v>92</v>
      </c>
      <c r="E206" s="32" t="s">
        <v>94</v>
      </c>
      <c r="F206" s="33">
        <v>14.0</v>
      </c>
      <c r="G206" s="33">
        <v>353.0</v>
      </c>
      <c r="H206" s="34">
        <v>23160.0</v>
      </c>
      <c r="I206" s="31">
        <v>9.0</v>
      </c>
      <c r="J206" s="35" t="s">
        <v>75</v>
      </c>
      <c r="K206" s="35" t="s">
        <v>75</v>
      </c>
      <c r="L206" s="35" t="s">
        <v>75</v>
      </c>
      <c r="M206" s="41">
        <v>282.0</v>
      </c>
      <c r="N206" s="30"/>
      <c r="O206" s="4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  <c r="AA206" s="30"/>
    </row>
    <row r="207" ht="18.75" customHeight="1">
      <c r="A207" s="31">
        <v>4576.0</v>
      </c>
      <c r="B207" s="32" t="s">
        <v>336</v>
      </c>
      <c r="C207" s="32" t="s">
        <v>158</v>
      </c>
      <c r="D207" s="32" t="s">
        <v>157</v>
      </c>
      <c r="E207" s="32" t="s">
        <v>74</v>
      </c>
      <c r="F207" s="33">
        <v>5.0</v>
      </c>
      <c r="G207" s="33">
        <v>349.0</v>
      </c>
      <c r="H207" s="34">
        <v>24372.0</v>
      </c>
      <c r="I207" s="31">
        <v>6.0</v>
      </c>
      <c r="J207" s="35" t="s">
        <v>75</v>
      </c>
      <c r="K207" s="35" t="s">
        <v>76</v>
      </c>
      <c r="L207" s="35" t="s">
        <v>75</v>
      </c>
      <c r="M207" s="41">
        <v>262.0</v>
      </c>
      <c r="N207" s="30"/>
      <c r="O207" s="4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  <c r="AA207" s="30"/>
    </row>
    <row r="208" ht="18.75" customHeight="1">
      <c r="A208" s="31">
        <v>3972.0</v>
      </c>
      <c r="B208" s="32" t="s">
        <v>89</v>
      </c>
      <c r="C208" s="32" t="s">
        <v>90</v>
      </c>
      <c r="D208" s="32" t="s">
        <v>89</v>
      </c>
      <c r="E208" s="32" t="s">
        <v>91</v>
      </c>
      <c r="F208" s="33">
        <v>11.0</v>
      </c>
      <c r="G208" s="33">
        <v>347.0</v>
      </c>
      <c r="H208" s="34">
        <v>28942.0</v>
      </c>
      <c r="I208" s="31">
        <v>9.0</v>
      </c>
      <c r="J208" s="35" t="s">
        <v>75</v>
      </c>
      <c r="K208" s="35" t="s">
        <v>76</v>
      </c>
      <c r="L208" s="35" t="s">
        <v>75</v>
      </c>
      <c r="M208" s="41">
        <v>68.0</v>
      </c>
      <c r="N208" s="30"/>
      <c r="O208" s="4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  <c r="AA208" s="30"/>
    </row>
    <row r="209" ht="18.75" customHeight="1">
      <c r="A209" s="31">
        <v>4421.0</v>
      </c>
      <c r="B209" s="32" t="s">
        <v>303</v>
      </c>
      <c r="C209" s="32" t="s">
        <v>131</v>
      </c>
      <c r="D209" s="32" t="s">
        <v>130</v>
      </c>
      <c r="E209" s="32" t="s">
        <v>132</v>
      </c>
      <c r="F209" s="33">
        <v>8.0</v>
      </c>
      <c r="G209" s="33">
        <v>345.0</v>
      </c>
      <c r="H209" s="34">
        <v>20399.0</v>
      </c>
      <c r="I209" s="31">
        <v>4.0</v>
      </c>
      <c r="J209" s="35" t="s">
        <v>75</v>
      </c>
      <c r="K209" s="35" t="s">
        <v>75</v>
      </c>
      <c r="L209" s="35" t="s">
        <v>76</v>
      </c>
      <c r="M209" s="41">
        <v>232.0</v>
      </c>
      <c r="N209" s="30"/>
      <c r="O209" s="4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  <c r="AA209" s="30"/>
    </row>
    <row r="210" ht="18.75" customHeight="1">
      <c r="A210" s="31">
        <v>2518.0</v>
      </c>
      <c r="B210" s="32" t="s">
        <v>103</v>
      </c>
      <c r="C210" s="32" t="s">
        <v>104</v>
      </c>
      <c r="D210" s="32" t="s">
        <v>103</v>
      </c>
      <c r="E210" s="32" t="s">
        <v>105</v>
      </c>
      <c r="F210" s="33">
        <v>13.0</v>
      </c>
      <c r="G210" s="33">
        <v>343.0</v>
      </c>
      <c r="H210" s="36">
        <v>20379.0</v>
      </c>
      <c r="I210" s="31">
        <v>4.0</v>
      </c>
      <c r="J210" s="35" t="s">
        <v>76</v>
      </c>
      <c r="K210" s="35" t="s">
        <v>75</v>
      </c>
      <c r="L210" s="35" t="s">
        <v>75</v>
      </c>
      <c r="M210" s="41">
        <v>73.0</v>
      </c>
      <c r="N210" s="30"/>
      <c r="O210" s="4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  <c r="AA210" s="30"/>
    </row>
    <row r="211" ht="18.75" customHeight="1">
      <c r="A211" s="31">
        <v>5222.0</v>
      </c>
      <c r="B211" s="32" t="s">
        <v>324</v>
      </c>
      <c r="C211" s="32" t="s">
        <v>201</v>
      </c>
      <c r="D211" s="32" t="s">
        <v>200</v>
      </c>
      <c r="E211" s="32" t="s">
        <v>100</v>
      </c>
      <c r="F211" s="33">
        <v>7.0</v>
      </c>
      <c r="G211" s="33">
        <v>340.0</v>
      </c>
      <c r="H211" s="34">
        <v>20134.0</v>
      </c>
      <c r="I211" s="31">
        <v>3.0</v>
      </c>
      <c r="J211" s="35" t="s">
        <v>75</v>
      </c>
      <c r="K211" s="35" t="s">
        <v>76</v>
      </c>
      <c r="L211" s="35" t="s">
        <v>75</v>
      </c>
      <c r="M211" s="41">
        <v>251.0</v>
      </c>
      <c r="N211" s="30"/>
      <c r="O211" s="4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  <c r="AA211" s="30"/>
    </row>
    <row r="212" ht="18.75" customHeight="1">
      <c r="A212" s="31">
        <v>3086.0</v>
      </c>
      <c r="B212" s="32" t="s">
        <v>77</v>
      </c>
      <c r="C212" s="32" t="s">
        <v>78</v>
      </c>
      <c r="D212" s="32" t="s">
        <v>77</v>
      </c>
      <c r="E212" s="32" t="s">
        <v>79</v>
      </c>
      <c r="F212" s="33">
        <v>8.0</v>
      </c>
      <c r="G212" s="33">
        <v>339.0</v>
      </c>
      <c r="H212" s="34">
        <v>20674.0</v>
      </c>
      <c r="I212" s="31">
        <v>3.0</v>
      </c>
      <c r="J212" s="35" t="s">
        <v>75</v>
      </c>
      <c r="K212" s="35" t="s">
        <v>76</v>
      </c>
      <c r="L212" s="35" t="s">
        <v>76</v>
      </c>
      <c r="M212" s="41">
        <v>146.0</v>
      </c>
      <c r="N212" s="30"/>
      <c r="O212" s="4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  <c r="AA212" s="30"/>
    </row>
    <row r="213" ht="18.75" customHeight="1">
      <c r="A213" s="31">
        <v>4636.0</v>
      </c>
      <c r="B213" s="32" t="s">
        <v>376</v>
      </c>
      <c r="C213" s="32" t="s">
        <v>78</v>
      </c>
      <c r="D213" s="32" t="s">
        <v>77</v>
      </c>
      <c r="E213" s="32" t="s">
        <v>79</v>
      </c>
      <c r="F213" s="33">
        <v>1.0</v>
      </c>
      <c r="G213" s="33">
        <v>335.0</v>
      </c>
      <c r="H213" s="34">
        <v>22298.0</v>
      </c>
      <c r="I213" s="31">
        <v>7.0</v>
      </c>
      <c r="J213" s="35" t="s">
        <v>75</v>
      </c>
      <c r="K213" s="35" t="s">
        <v>76</v>
      </c>
      <c r="L213" s="35" t="s">
        <v>76</v>
      </c>
      <c r="M213" s="41">
        <v>296.0</v>
      </c>
      <c r="N213" s="30"/>
      <c r="O213" s="4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  <c r="AA213" s="30"/>
    </row>
    <row r="214" ht="18.75" customHeight="1">
      <c r="A214" s="31">
        <v>3324.0</v>
      </c>
      <c r="B214" s="32" t="s">
        <v>72</v>
      </c>
      <c r="C214" s="32" t="s">
        <v>73</v>
      </c>
      <c r="D214" s="32" t="s">
        <v>72</v>
      </c>
      <c r="E214" s="32" t="s">
        <v>74</v>
      </c>
      <c r="F214" s="33">
        <v>7.0</v>
      </c>
      <c r="G214" s="33">
        <v>325.0</v>
      </c>
      <c r="H214" s="36">
        <v>24798.0</v>
      </c>
      <c r="I214" s="31">
        <v>6.0</v>
      </c>
      <c r="J214" s="35" t="s">
        <v>76</v>
      </c>
      <c r="K214" s="35" t="s">
        <v>75</v>
      </c>
      <c r="L214" s="35" t="s">
        <v>75</v>
      </c>
      <c r="M214" s="41">
        <v>125.0</v>
      </c>
      <c r="N214" s="30"/>
      <c r="O214" s="4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  <c r="AA214" s="30"/>
    </row>
    <row r="215" ht="18.75" customHeight="1">
      <c r="A215" s="31">
        <v>3172.0</v>
      </c>
      <c r="B215" s="32" t="s">
        <v>287</v>
      </c>
      <c r="C215" s="32" t="s">
        <v>288</v>
      </c>
      <c r="D215" s="32" t="s">
        <v>288</v>
      </c>
      <c r="E215" s="32" t="s">
        <v>91</v>
      </c>
      <c r="F215" s="33">
        <v>7.0</v>
      </c>
      <c r="G215" s="33">
        <v>325.0</v>
      </c>
      <c r="H215" s="36">
        <v>32795.0</v>
      </c>
      <c r="I215" s="31">
        <v>4.0</v>
      </c>
      <c r="J215" s="35" t="s">
        <v>76</v>
      </c>
      <c r="K215" s="35" t="s">
        <v>75</v>
      </c>
      <c r="L215" s="35" t="s">
        <v>75</v>
      </c>
      <c r="M215" s="41">
        <v>219.0</v>
      </c>
      <c r="N215" s="30"/>
      <c r="O215" s="4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  <c r="AA215" s="30"/>
    </row>
    <row r="216" ht="18.75" customHeight="1">
      <c r="A216" s="31">
        <v>2646.0</v>
      </c>
      <c r="B216" s="32" t="s">
        <v>260</v>
      </c>
      <c r="C216" s="32" t="s">
        <v>84</v>
      </c>
      <c r="D216" s="32" t="s">
        <v>83</v>
      </c>
      <c r="E216" s="32" t="s">
        <v>85</v>
      </c>
      <c r="F216" s="33">
        <v>4.0</v>
      </c>
      <c r="G216" s="33">
        <v>319.0</v>
      </c>
      <c r="H216" s="34">
        <v>29757.0</v>
      </c>
      <c r="I216" s="31">
        <v>2.0</v>
      </c>
      <c r="J216" s="35" t="s">
        <v>75</v>
      </c>
      <c r="K216" s="35" t="s">
        <v>76</v>
      </c>
      <c r="L216" s="35" t="s">
        <v>76</v>
      </c>
      <c r="M216" s="41">
        <v>197.0</v>
      </c>
      <c r="N216" s="30"/>
      <c r="O216" s="4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  <c r="AA216" s="30"/>
    </row>
    <row r="217" ht="18.75" customHeight="1">
      <c r="A217" s="31">
        <v>3906.0</v>
      </c>
      <c r="B217" s="32" t="s">
        <v>307</v>
      </c>
      <c r="C217" s="32" t="s">
        <v>228</v>
      </c>
      <c r="D217" s="32" t="s">
        <v>389</v>
      </c>
      <c r="E217" s="32" t="s">
        <v>82</v>
      </c>
      <c r="F217" s="33">
        <v>2.0</v>
      </c>
      <c r="G217" s="33">
        <v>318.0</v>
      </c>
      <c r="H217" s="34">
        <v>27931.0</v>
      </c>
      <c r="I217" s="31">
        <v>3.0</v>
      </c>
      <c r="J217" s="35" t="s">
        <v>76</v>
      </c>
      <c r="K217" s="35" t="s">
        <v>75</v>
      </c>
      <c r="L217" s="35" t="s">
        <v>76</v>
      </c>
      <c r="M217" s="41">
        <v>235.0</v>
      </c>
      <c r="N217" s="30"/>
      <c r="O217" s="4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  <c r="AA217" s="30"/>
    </row>
    <row r="218" ht="18.75" customHeight="1">
      <c r="A218" s="31">
        <v>3685.0</v>
      </c>
      <c r="B218" s="32" t="s">
        <v>351</v>
      </c>
      <c r="C218" s="32" t="s">
        <v>84</v>
      </c>
      <c r="D218" s="32" t="s">
        <v>83</v>
      </c>
      <c r="E218" s="32" t="s">
        <v>85</v>
      </c>
      <c r="F218" s="33">
        <v>7.0</v>
      </c>
      <c r="G218" s="33">
        <v>317.0</v>
      </c>
      <c r="H218" s="34">
        <v>25825.0</v>
      </c>
      <c r="I218" s="31">
        <v>9.0</v>
      </c>
      <c r="J218" s="35" t="s">
        <v>76</v>
      </c>
      <c r="K218" s="35" t="s">
        <v>76</v>
      </c>
      <c r="L218" s="35" t="s">
        <v>75</v>
      </c>
      <c r="M218" s="41">
        <v>275.0</v>
      </c>
      <c r="N218" s="30"/>
      <c r="O218" s="4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  <c r="AA218" s="30"/>
    </row>
    <row r="219" ht="18.75" customHeight="1">
      <c r="A219" s="31">
        <v>2496.0</v>
      </c>
      <c r="B219" s="32" t="s">
        <v>354</v>
      </c>
      <c r="C219" s="32" t="s">
        <v>145</v>
      </c>
      <c r="D219" s="32" t="s">
        <v>144</v>
      </c>
      <c r="E219" s="32" t="s">
        <v>82</v>
      </c>
      <c r="F219" s="33">
        <v>9.0</v>
      </c>
      <c r="G219" s="33">
        <v>314.0</v>
      </c>
      <c r="H219" s="34">
        <v>31141.0</v>
      </c>
      <c r="I219" s="31">
        <v>4.0</v>
      </c>
      <c r="J219" s="35" t="s">
        <v>76</v>
      </c>
      <c r="K219" s="35" t="s">
        <v>76</v>
      </c>
      <c r="L219" s="35" t="s">
        <v>75</v>
      </c>
      <c r="M219" s="41">
        <v>278.0</v>
      </c>
      <c r="N219" s="30"/>
      <c r="O219" s="4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  <c r="AA219" s="30"/>
    </row>
    <row r="220" ht="18.75" customHeight="1">
      <c r="A220" s="31">
        <v>2793.0</v>
      </c>
      <c r="B220" s="32" t="s">
        <v>108</v>
      </c>
      <c r="C220" s="32" t="s">
        <v>109</v>
      </c>
      <c r="D220" s="32" t="s">
        <v>109</v>
      </c>
      <c r="E220" s="32" t="s">
        <v>88</v>
      </c>
      <c r="F220" s="33">
        <v>13.0</v>
      </c>
      <c r="G220" s="33">
        <v>313.0</v>
      </c>
      <c r="H220" s="34">
        <v>23450.0</v>
      </c>
      <c r="I220" s="31">
        <v>2.0</v>
      </c>
      <c r="J220" s="35" t="s">
        <v>75</v>
      </c>
      <c r="K220" s="35" t="s">
        <v>75</v>
      </c>
      <c r="L220" s="35" t="s">
        <v>75</v>
      </c>
      <c r="M220" s="41">
        <v>13.0</v>
      </c>
      <c r="N220" s="30"/>
      <c r="O220" s="4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  <c r="AA220" s="30"/>
    </row>
    <row r="221" ht="18.75" customHeight="1">
      <c r="A221" s="31">
        <v>3394.0</v>
      </c>
      <c r="B221" s="32" t="s">
        <v>157</v>
      </c>
      <c r="C221" s="32" t="s">
        <v>158</v>
      </c>
      <c r="D221" s="32" t="s">
        <v>157</v>
      </c>
      <c r="E221" s="32" t="s">
        <v>74</v>
      </c>
      <c r="F221" s="33">
        <v>14.0</v>
      </c>
      <c r="G221" s="33">
        <v>312.0</v>
      </c>
      <c r="H221" s="34">
        <v>31836.0</v>
      </c>
      <c r="I221" s="31">
        <v>1.0</v>
      </c>
      <c r="J221" s="35" t="s">
        <v>75</v>
      </c>
      <c r="K221" s="35" t="s">
        <v>75</v>
      </c>
      <c r="L221" s="35" t="s">
        <v>75</v>
      </c>
      <c r="M221" s="41">
        <v>35.0</v>
      </c>
      <c r="N221" s="30"/>
      <c r="O221" s="4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  <c r="AA221" s="30"/>
    </row>
    <row r="222" ht="18.75" customHeight="1">
      <c r="A222" s="31">
        <v>3048.0</v>
      </c>
      <c r="B222" s="32" t="s">
        <v>119</v>
      </c>
      <c r="C222" s="32" t="s">
        <v>120</v>
      </c>
      <c r="D222" s="32" t="s">
        <v>119</v>
      </c>
      <c r="E222" s="32" t="s">
        <v>97</v>
      </c>
      <c r="F222" s="33">
        <v>8.0</v>
      </c>
      <c r="G222" s="33">
        <v>312.0</v>
      </c>
      <c r="H222" s="36">
        <v>24100.0</v>
      </c>
      <c r="I222" s="31">
        <v>6.0</v>
      </c>
      <c r="J222" s="35" t="s">
        <v>75</v>
      </c>
      <c r="K222" s="35" t="s">
        <v>76</v>
      </c>
      <c r="L222" s="35" t="s">
        <v>75</v>
      </c>
      <c r="M222" s="41">
        <v>80.0</v>
      </c>
      <c r="N222" s="30"/>
      <c r="O222" s="4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  <c r="AA222" s="30"/>
    </row>
    <row r="223" ht="18.75" customHeight="1">
      <c r="A223" s="31">
        <v>3433.0</v>
      </c>
      <c r="B223" s="32" t="s">
        <v>77</v>
      </c>
      <c r="C223" s="32" t="s">
        <v>78</v>
      </c>
      <c r="D223" s="32" t="s">
        <v>77</v>
      </c>
      <c r="E223" s="32" t="s">
        <v>79</v>
      </c>
      <c r="F223" s="33">
        <v>3.0</v>
      </c>
      <c r="G223" s="33">
        <v>311.0</v>
      </c>
      <c r="H223" s="34">
        <v>25674.0</v>
      </c>
      <c r="I223" s="31">
        <v>9.0</v>
      </c>
      <c r="J223" s="35" t="s">
        <v>75</v>
      </c>
      <c r="K223" s="35" t="s">
        <v>75</v>
      </c>
      <c r="L223" s="35" t="s">
        <v>76</v>
      </c>
      <c r="M223" s="41">
        <v>140.0</v>
      </c>
      <c r="N223" s="30"/>
      <c r="O223" s="4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  <c r="AA223" s="30"/>
    </row>
    <row r="224" ht="18.75" customHeight="1">
      <c r="A224" s="31">
        <v>5122.0</v>
      </c>
      <c r="B224" s="32" t="s">
        <v>327</v>
      </c>
      <c r="C224" s="32" t="s">
        <v>305</v>
      </c>
      <c r="D224" s="32" t="s">
        <v>391</v>
      </c>
      <c r="E224" s="32" t="s">
        <v>125</v>
      </c>
      <c r="F224" s="33">
        <v>9.0</v>
      </c>
      <c r="G224" s="33">
        <v>308.0</v>
      </c>
      <c r="H224" s="34">
        <v>28756.0</v>
      </c>
      <c r="I224" s="31">
        <v>1.0</v>
      </c>
      <c r="J224" s="35" t="s">
        <v>76</v>
      </c>
      <c r="K224" s="35" t="s">
        <v>75</v>
      </c>
      <c r="L224" s="35" t="s">
        <v>75</v>
      </c>
      <c r="M224" s="41">
        <v>254.0</v>
      </c>
      <c r="N224" s="30"/>
      <c r="O224" s="4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  <c r="AA224" s="30"/>
    </row>
    <row r="225" ht="18.75" customHeight="1">
      <c r="A225" s="31">
        <v>3575.0</v>
      </c>
      <c r="B225" s="32" t="s">
        <v>204</v>
      </c>
      <c r="C225" s="32" t="s">
        <v>81</v>
      </c>
      <c r="D225" s="32" t="s">
        <v>80</v>
      </c>
      <c r="E225" s="32" t="s">
        <v>82</v>
      </c>
      <c r="F225" s="33">
        <v>4.0</v>
      </c>
      <c r="G225" s="33">
        <v>307.0</v>
      </c>
      <c r="H225" s="34">
        <v>30505.0</v>
      </c>
      <c r="I225" s="31">
        <v>9.0</v>
      </c>
      <c r="J225" s="35" t="s">
        <v>75</v>
      </c>
      <c r="K225" s="35" t="s">
        <v>75</v>
      </c>
      <c r="L225" s="35" t="s">
        <v>75</v>
      </c>
      <c r="M225" s="41">
        <v>59.0</v>
      </c>
      <c r="N225" s="30"/>
      <c r="O225" s="4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  <c r="AA225" s="30"/>
    </row>
    <row r="226" ht="18.75" customHeight="1">
      <c r="A226" s="31">
        <v>3472.0</v>
      </c>
      <c r="B226" s="32" t="s">
        <v>290</v>
      </c>
      <c r="C226" s="32" t="s">
        <v>291</v>
      </c>
      <c r="D226" s="32" t="s">
        <v>291</v>
      </c>
      <c r="E226" s="32" t="s">
        <v>154</v>
      </c>
      <c r="F226" s="33">
        <v>11.0</v>
      </c>
      <c r="G226" s="33">
        <v>306.0</v>
      </c>
      <c r="H226" s="34">
        <v>27464.0</v>
      </c>
      <c r="I226" s="31">
        <v>1.0</v>
      </c>
      <c r="J226" s="35" t="s">
        <v>76</v>
      </c>
      <c r="K226" s="35" t="s">
        <v>75</v>
      </c>
      <c r="L226" s="35" t="s">
        <v>76</v>
      </c>
      <c r="M226" s="41">
        <v>221.0</v>
      </c>
      <c r="N226" s="30"/>
      <c r="O226" s="4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  <c r="AA226" s="30"/>
    </row>
    <row r="227" ht="18.75" customHeight="1">
      <c r="A227" s="31">
        <v>4333.0</v>
      </c>
      <c r="B227" s="32" t="s">
        <v>381</v>
      </c>
      <c r="C227" s="32" t="s">
        <v>382</v>
      </c>
      <c r="D227" s="32" t="s">
        <v>382</v>
      </c>
      <c r="E227" s="32" t="s">
        <v>125</v>
      </c>
      <c r="F227" s="33">
        <v>14.0</v>
      </c>
      <c r="G227" s="33">
        <v>295.0</v>
      </c>
      <c r="H227" s="34">
        <v>32937.0</v>
      </c>
      <c r="I227" s="31">
        <v>7.0</v>
      </c>
      <c r="J227" s="35" t="s">
        <v>75</v>
      </c>
      <c r="K227" s="35" t="s">
        <v>75</v>
      </c>
      <c r="L227" s="35" t="s">
        <v>76</v>
      </c>
      <c r="M227" s="41">
        <v>300.0</v>
      </c>
      <c r="N227" s="30"/>
      <c r="O227" s="4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  <c r="AA227" s="30"/>
    </row>
    <row r="228" ht="18.75" customHeight="1">
      <c r="A228" s="31">
        <v>4735.0</v>
      </c>
      <c r="B228" s="32" t="s">
        <v>314</v>
      </c>
      <c r="C228" s="32" t="s">
        <v>131</v>
      </c>
      <c r="D228" s="32" t="s">
        <v>130</v>
      </c>
      <c r="E228" s="32" t="s">
        <v>132</v>
      </c>
      <c r="F228" s="33">
        <v>13.0</v>
      </c>
      <c r="G228" s="33">
        <v>294.0</v>
      </c>
      <c r="H228" s="34">
        <v>23949.0</v>
      </c>
      <c r="I228" s="31">
        <v>7.0</v>
      </c>
      <c r="J228" s="35" t="s">
        <v>75</v>
      </c>
      <c r="K228" s="35" t="s">
        <v>75</v>
      </c>
      <c r="L228" s="35" t="s">
        <v>76</v>
      </c>
      <c r="M228" s="41">
        <v>241.0</v>
      </c>
      <c r="N228" s="30"/>
      <c r="O228" s="4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  <c r="AA228" s="30"/>
    </row>
    <row r="229" ht="18.75" customHeight="1">
      <c r="A229" s="31">
        <v>5025.0</v>
      </c>
      <c r="B229" s="32" t="s">
        <v>227</v>
      </c>
      <c r="C229" s="32" t="s">
        <v>228</v>
      </c>
      <c r="D229" s="32" t="s">
        <v>389</v>
      </c>
      <c r="E229" s="32" t="s">
        <v>82</v>
      </c>
      <c r="F229" s="33">
        <v>9.0</v>
      </c>
      <c r="G229" s="33">
        <v>287.0</v>
      </c>
      <c r="H229" s="36">
        <v>28839.0</v>
      </c>
      <c r="I229" s="31">
        <v>7.0</v>
      </c>
      <c r="J229" s="35" t="s">
        <v>75</v>
      </c>
      <c r="K229" s="35" t="s">
        <v>75</v>
      </c>
      <c r="L229" s="35" t="s">
        <v>76</v>
      </c>
      <c r="M229" s="41">
        <v>172.0</v>
      </c>
      <c r="N229" s="30"/>
      <c r="O229" s="4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  <c r="AA229" s="30"/>
    </row>
    <row r="230" ht="18.75" customHeight="1">
      <c r="A230" s="31">
        <v>3753.0</v>
      </c>
      <c r="B230" s="32" t="s">
        <v>77</v>
      </c>
      <c r="C230" s="32" t="s">
        <v>78</v>
      </c>
      <c r="D230" s="32" t="s">
        <v>77</v>
      </c>
      <c r="E230" s="32" t="s">
        <v>79</v>
      </c>
      <c r="F230" s="33">
        <v>5.0</v>
      </c>
      <c r="G230" s="33">
        <v>275.0</v>
      </c>
      <c r="H230" s="34">
        <v>25274.0</v>
      </c>
      <c r="I230" s="31">
        <v>8.0</v>
      </c>
      <c r="J230" s="35" t="s">
        <v>76</v>
      </c>
      <c r="K230" s="35" t="s">
        <v>75</v>
      </c>
      <c r="L230" s="35" t="s">
        <v>75</v>
      </c>
      <c r="M230" s="41">
        <v>118.0</v>
      </c>
      <c r="N230" s="30"/>
      <c r="O230" s="4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  <c r="AA230" s="30"/>
    </row>
    <row r="231" ht="18.75" customHeight="1">
      <c r="A231" s="31">
        <v>4834.0</v>
      </c>
      <c r="B231" s="32" t="s">
        <v>341</v>
      </c>
      <c r="C231" s="32" t="s">
        <v>342</v>
      </c>
      <c r="D231" s="32" t="s">
        <v>342</v>
      </c>
      <c r="E231" s="32" t="s">
        <v>105</v>
      </c>
      <c r="F231" s="33">
        <v>8.0</v>
      </c>
      <c r="G231" s="33">
        <v>274.0</v>
      </c>
      <c r="H231" s="34">
        <v>29561.0</v>
      </c>
      <c r="I231" s="31">
        <v>1.0</v>
      </c>
      <c r="J231" s="35" t="s">
        <v>76</v>
      </c>
      <c r="K231" s="35" t="s">
        <v>75</v>
      </c>
      <c r="L231" s="35" t="s">
        <v>75</v>
      </c>
      <c r="M231" s="41">
        <v>267.0</v>
      </c>
      <c r="N231" s="30"/>
      <c r="O231" s="4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  <c r="AA231" s="30"/>
    </row>
    <row r="232" ht="18.75" customHeight="1">
      <c r="A232" s="31">
        <v>3358.0</v>
      </c>
      <c r="B232" s="32" t="s">
        <v>330</v>
      </c>
      <c r="C232" s="32" t="s">
        <v>165</v>
      </c>
      <c r="D232" s="32" t="s">
        <v>165</v>
      </c>
      <c r="E232" s="32" t="s">
        <v>166</v>
      </c>
      <c r="F232" s="33">
        <v>2.0</v>
      </c>
      <c r="G232" s="33">
        <v>272.0</v>
      </c>
      <c r="H232" s="36">
        <v>20787.0</v>
      </c>
      <c r="I232" s="31">
        <v>6.0</v>
      </c>
      <c r="J232" s="35" t="s">
        <v>76</v>
      </c>
      <c r="K232" s="35" t="s">
        <v>75</v>
      </c>
      <c r="L232" s="35" t="s">
        <v>76</v>
      </c>
      <c r="M232" s="41">
        <v>257.0</v>
      </c>
      <c r="N232" s="30"/>
      <c r="O232" s="4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  <c r="AA232" s="30"/>
    </row>
    <row r="233" ht="18.75" customHeight="1">
      <c r="A233" s="31">
        <v>3011.0</v>
      </c>
      <c r="B233" s="32" t="s">
        <v>210</v>
      </c>
      <c r="C233" s="32" t="s">
        <v>78</v>
      </c>
      <c r="D233" s="32" t="s">
        <v>77</v>
      </c>
      <c r="E233" s="32" t="s">
        <v>79</v>
      </c>
      <c r="F233" s="33">
        <v>15.0</v>
      </c>
      <c r="G233" s="33">
        <v>267.0</v>
      </c>
      <c r="H233" s="36">
        <v>26225.0</v>
      </c>
      <c r="I233" s="31">
        <v>3.0</v>
      </c>
      <c r="J233" s="35" t="s">
        <v>75</v>
      </c>
      <c r="K233" s="35" t="s">
        <v>76</v>
      </c>
      <c r="L233" s="35" t="s">
        <v>75</v>
      </c>
      <c r="M233" s="41">
        <v>114.0</v>
      </c>
      <c r="N233" s="30"/>
      <c r="O233" s="4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  <c r="AA233" s="30"/>
    </row>
    <row r="234" ht="18.75" customHeight="1">
      <c r="A234" s="31">
        <v>4094.0</v>
      </c>
      <c r="B234" s="32" t="s">
        <v>80</v>
      </c>
      <c r="C234" s="32" t="s">
        <v>81</v>
      </c>
      <c r="D234" s="32" t="s">
        <v>80</v>
      </c>
      <c r="E234" s="32" t="s">
        <v>82</v>
      </c>
      <c r="F234" s="33">
        <v>2.0</v>
      </c>
      <c r="G234" s="33">
        <v>263.0</v>
      </c>
      <c r="H234" s="34">
        <v>28539.0</v>
      </c>
      <c r="I234" s="31">
        <v>4.0</v>
      </c>
      <c r="J234" s="35" t="s">
        <v>75</v>
      </c>
      <c r="K234" s="35" t="s">
        <v>75</v>
      </c>
      <c r="L234" s="35" t="s">
        <v>76</v>
      </c>
      <c r="M234" s="41">
        <v>131.0</v>
      </c>
      <c r="N234" s="30"/>
      <c r="O234" s="4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  <c r="AA234" s="30"/>
    </row>
    <row r="235" ht="18.75" customHeight="1">
      <c r="A235" s="31">
        <v>2523.0</v>
      </c>
      <c r="B235" s="32" t="s">
        <v>77</v>
      </c>
      <c r="C235" s="32" t="s">
        <v>78</v>
      </c>
      <c r="D235" s="32" t="s">
        <v>77</v>
      </c>
      <c r="E235" s="32" t="s">
        <v>79</v>
      </c>
      <c r="F235" s="33">
        <v>11.0</v>
      </c>
      <c r="G235" s="33">
        <v>260.0</v>
      </c>
      <c r="H235" s="34">
        <v>33288.0</v>
      </c>
      <c r="I235" s="31">
        <v>8.0</v>
      </c>
      <c r="J235" s="35" t="s">
        <v>76</v>
      </c>
      <c r="K235" s="35" t="s">
        <v>76</v>
      </c>
      <c r="L235" s="35" t="s">
        <v>75</v>
      </c>
      <c r="M235" s="41">
        <v>151.0</v>
      </c>
      <c r="N235" s="30"/>
      <c r="O235" s="4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  <c r="AA235" s="30"/>
    </row>
    <row r="236" ht="18.75" customHeight="1">
      <c r="A236" s="31">
        <v>3936.0</v>
      </c>
      <c r="B236" s="32" t="s">
        <v>331</v>
      </c>
      <c r="C236" s="32" t="s">
        <v>81</v>
      </c>
      <c r="D236" s="32" t="s">
        <v>80</v>
      </c>
      <c r="E236" s="32" t="s">
        <v>82</v>
      </c>
      <c r="F236" s="33">
        <v>14.0</v>
      </c>
      <c r="G236" s="33">
        <v>245.0</v>
      </c>
      <c r="H236" s="34">
        <v>34810.0</v>
      </c>
      <c r="I236" s="31">
        <v>8.0</v>
      </c>
      <c r="J236" s="35" t="s">
        <v>76</v>
      </c>
      <c r="K236" s="35" t="s">
        <v>75</v>
      </c>
      <c r="L236" s="35" t="s">
        <v>76</v>
      </c>
      <c r="M236" s="41">
        <v>258.0</v>
      </c>
      <c r="N236" s="30"/>
      <c r="O236" s="4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  <c r="AA236" s="30"/>
    </row>
    <row r="237" ht="18.75" customHeight="1">
      <c r="A237" s="31">
        <v>2731.0</v>
      </c>
      <c r="B237" s="32" t="s">
        <v>378</v>
      </c>
      <c r="C237" s="32" t="s">
        <v>379</v>
      </c>
      <c r="D237" s="32" t="s">
        <v>379</v>
      </c>
      <c r="E237" s="32" t="s">
        <v>79</v>
      </c>
      <c r="F237" s="33">
        <v>4.0</v>
      </c>
      <c r="G237" s="33">
        <v>245.0</v>
      </c>
      <c r="H237" s="34">
        <v>34600.0</v>
      </c>
      <c r="I237" s="31">
        <v>4.0</v>
      </c>
      <c r="J237" s="35" t="s">
        <v>75</v>
      </c>
      <c r="K237" s="35" t="s">
        <v>76</v>
      </c>
      <c r="L237" s="35" t="s">
        <v>75</v>
      </c>
      <c r="M237" s="41">
        <v>298.0</v>
      </c>
      <c r="N237" s="30"/>
      <c r="O237" s="4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  <c r="AA237" s="30"/>
    </row>
    <row r="238" ht="18.75" customHeight="1">
      <c r="A238" s="31">
        <v>5328.0</v>
      </c>
      <c r="B238" s="32" t="s">
        <v>95</v>
      </c>
      <c r="C238" s="32" t="s">
        <v>96</v>
      </c>
      <c r="D238" s="32" t="s">
        <v>96</v>
      </c>
      <c r="E238" s="32" t="s">
        <v>97</v>
      </c>
      <c r="F238" s="33">
        <v>8.0</v>
      </c>
      <c r="G238" s="33">
        <v>242.0</v>
      </c>
      <c r="H238" s="34">
        <v>31533.0</v>
      </c>
      <c r="I238" s="31">
        <v>5.0</v>
      </c>
      <c r="J238" s="35" t="s">
        <v>75</v>
      </c>
      <c r="K238" s="35" t="s">
        <v>75</v>
      </c>
      <c r="L238" s="35" t="s">
        <v>75</v>
      </c>
      <c r="M238" s="41">
        <v>97.0</v>
      </c>
      <c r="N238" s="30"/>
      <c r="O238" s="4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  <c r="AA238" s="30"/>
    </row>
    <row r="239" ht="18.75" customHeight="1">
      <c r="A239" s="31">
        <v>3883.0</v>
      </c>
      <c r="B239" s="32" t="s">
        <v>232</v>
      </c>
      <c r="C239" s="32" t="s">
        <v>233</v>
      </c>
      <c r="D239" s="32" t="s">
        <v>233</v>
      </c>
      <c r="E239" s="32" t="s">
        <v>179</v>
      </c>
      <c r="F239" s="33">
        <v>14.0</v>
      </c>
      <c r="G239" s="33">
        <v>240.0</v>
      </c>
      <c r="H239" s="34">
        <v>21799.0</v>
      </c>
      <c r="I239" s="31">
        <v>7.0</v>
      </c>
      <c r="J239" s="35" t="s">
        <v>75</v>
      </c>
      <c r="K239" s="35" t="s">
        <v>76</v>
      </c>
      <c r="L239" s="35" t="s">
        <v>75</v>
      </c>
      <c r="M239" s="41">
        <v>175.0</v>
      </c>
      <c r="N239" s="30"/>
      <c r="O239" s="4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  <c r="AA239" s="30"/>
    </row>
    <row r="240" ht="18.75" customHeight="1">
      <c r="A240" s="31">
        <v>4398.0</v>
      </c>
      <c r="B240" s="32" t="s">
        <v>211</v>
      </c>
      <c r="C240" s="32" t="s">
        <v>212</v>
      </c>
      <c r="D240" s="32" t="s">
        <v>212</v>
      </c>
      <c r="E240" s="32" t="s">
        <v>97</v>
      </c>
      <c r="F240" s="33">
        <v>7.0</v>
      </c>
      <c r="G240" s="33">
        <v>236.0</v>
      </c>
      <c r="H240" s="34">
        <v>23394.0</v>
      </c>
      <c r="I240" s="31">
        <v>10.0</v>
      </c>
      <c r="J240" s="35" t="s">
        <v>75</v>
      </c>
      <c r="K240" s="35" t="s">
        <v>76</v>
      </c>
      <c r="L240" s="35" t="s">
        <v>76</v>
      </c>
      <c r="M240" s="41">
        <v>161.0</v>
      </c>
      <c r="N240" s="30"/>
      <c r="O240" s="4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  <c r="AA240" s="30"/>
    </row>
    <row r="241" ht="18.75" customHeight="1">
      <c r="A241" s="31">
        <v>3582.0</v>
      </c>
      <c r="B241" s="32" t="s">
        <v>77</v>
      </c>
      <c r="C241" s="32" t="s">
        <v>78</v>
      </c>
      <c r="D241" s="32" t="s">
        <v>77</v>
      </c>
      <c r="E241" s="32" t="s">
        <v>79</v>
      </c>
      <c r="F241" s="33">
        <v>12.0</v>
      </c>
      <c r="G241" s="33">
        <v>235.0</v>
      </c>
      <c r="H241" s="34">
        <v>32039.0</v>
      </c>
      <c r="I241" s="31">
        <v>5.0</v>
      </c>
      <c r="J241" s="35" t="s">
        <v>76</v>
      </c>
      <c r="K241" s="35" t="s">
        <v>75</v>
      </c>
      <c r="L241" s="35" t="s">
        <v>75</v>
      </c>
      <c r="M241" s="41">
        <v>154.0</v>
      </c>
      <c r="N241" s="30"/>
      <c r="O241" s="4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  <c r="AA241" s="30"/>
    </row>
    <row r="242" ht="18.75" customHeight="1">
      <c r="A242" s="31">
        <v>3676.0</v>
      </c>
      <c r="B242" s="32" t="s">
        <v>235</v>
      </c>
      <c r="C242" s="32" t="s">
        <v>236</v>
      </c>
      <c r="D242" s="32" t="s">
        <v>236</v>
      </c>
      <c r="E242" s="32" t="s">
        <v>237</v>
      </c>
      <c r="F242" s="33">
        <v>13.0</v>
      </c>
      <c r="G242" s="33">
        <v>232.0</v>
      </c>
      <c r="H242" s="34">
        <v>20520.0</v>
      </c>
      <c r="I242" s="31">
        <v>9.0</v>
      </c>
      <c r="J242" s="35" t="s">
        <v>75</v>
      </c>
      <c r="K242" s="35" t="s">
        <v>75</v>
      </c>
      <c r="L242" s="35" t="s">
        <v>75</v>
      </c>
      <c r="M242" s="41">
        <v>177.0</v>
      </c>
      <c r="N242" s="30"/>
      <c r="O242" s="4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  <c r="AA242" s="30"/>
    </row>
    <row r="243" ht="18.75" customHeight="1">
      <c r="A243" s="31">
        <v>5136.0</v>
      </c>
      <c r="B243" s="32" t="s">
        <v>320</v>
      </c>
      <c r="C243" s="32" t="s">
        <v>297</v>
      </c>
      <c r="D243" s="32" t="s">
        <v>390</v>
      </c>
      <c r="E243" s="32" t="s">
        <v>88</v>
      </c>
      <c r="F243" s="33">
        <v>7.0</v>
      </c>
      <c r="G243" s="33">
        <v>226.0</v>
      </c>
      <c r="H243" s="34">
        <v>23802.0</v>
      </c>
      <c r="I243" s="31">
        <v>7.0</v>
      </c>
      <c r="J243" s="35" t="s">
        <v>76</v>
      </c>
      <c r="K243" s="35" t="s">
        <v>75</v>
      </c>
      <c r="L243" s="35" t="s">
        <v>76</v>
      </c>
      <c r="M243" s="41">
        <v>247.0</v>
      </c>
      <c r="N243" s="30"/>
      <c r="O243" s="4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  <c r="AA243" s="30"/>
    </row>
    <row r="244" ht="18.75" customHeight="1">
      <c r="A244" s="31">
        <v>5325.0</v>
      </c>
      <c r="B244" s="32" t="s">
        <v>309</v>
      </c>
      <c r="C244" s="32" t="s">
        <v>81</v>
      </c>
      <c r="D244" s="32" t="s">
        <v>80</v>
      </c>
      <c r="E244" s="32" t="s">
        <v>82</v>
      </c>
      <c r="F244" s="33">
        <v>15.0</v>
      </c>
      <c r="G244" s="33">
        <v>208.0</v>
      </c>
      <c r="H244" s="34">
        <v>21343.0</v>
      </c>
      <c r="I244" s="31">
        <v>6.0</v>
      </c>
      <c r="J244" s="35" t="s">
        <v>75</v>
      </c>
      <c r="K244" s="35" t="s">
        <v>75</v>
      </c>
      <c r="L244" s="35" t="s">
        <v>75</v>
      </c>
      <c r="M244" s="41">
        <v>237.0</v>
      </c>
      <c r="N244" s="30"/>
      <c r="O244" s="4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  <c r="AA244" s="30"/>
    </row>
    <row r="245" ht="18.75" customHeight="1">
      <c r="A245" s="31">
        <v>4159.0</v>
      </c>
      <c r="B245" s="32" t="s">
        <v>123</v>
      </c>
      <c r="C245" s="32" t="s">
        <v>124</v>
      </c>
      <c r="D245" s="32" t="s">
        <v>123</v>
      </c>
      <c r="E245" s="32" t="s">
        <v>125</v>
      </c>
      <c r="F245" s="33">
        <v>1.0</v>
      </c>
      <c r="G245" s="33">
        <v>196.0</v>
      </c>
      <c r="H245" s="34">
        <v>28252.0</v>
      </c>
      <c r="I245" s="31">
        <v>7.0</v>
      </c>
      <c r="J245" s="35" t="s">
        <v>76</v>
      </c>
      <c r="K245" s="35" t="s">
        <v>75</v>
      </c>
      <c r="L245" s="35" t="s">
        <v>76</v>
      </c>
      <c r="M245" s="41">
        <v>20.0</v>
      </c>
      <c r="N245" s="30"/>
      <c r="O245" s="4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  <c r="AA245" s="30"/>
    </row>
    <row r="246" ht="18.75" customHeight="1">
      <c r="A246" s="31">
        <v>5379.0</v>
      </c>
      <c r="B246" s="32" t="s">
        <v>293</v>
      </c>
      <c r="C246" s="32" t="s">
        <v>104</v>
      </c>
      <c r="D246" s="32" t="s">
        <v>103</v>
      </c>
      <c r="E246" s="32" t="s">
        <v>105</v>
      </c>
      <c r="F246" s="33">
        <v>13.0</v>
      </c>
      <c r="G246" s="33">
        <v>195.0</v>
      </c>
      <c r="H246" s="36">
        <v>27713.0</v>
      </c>
      <c r="I246" s="31">
        <v>5.0</v>
      </c>
      <c r="J246" s="35" t="s">
        <v>75</v>
      </c>
      <c r="K246" s="35" t="s">
        <v>76</v>
      </c>
      <c r="L246" s="35" t="s">
        <v>76</v>
      </c>
      <c r="M246" s="41">
        <v>223.0</v>
      </c>
      <c r="N246" s="30"/>
      <c r="O246" s="4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  <c r="AA246" s="30"/>
    </row>
    <row r="247" ht="18.75" customHeight="1">
      <c r="A247" s="31">
        <v>5443.0</v>
      </c>
      <c r="B247" s="32" t="s">
        <v>346</v>
      </c>
      <c r="C247" s="32" t="s">
        <v>347</v>
      </c>
      <c r="D247" s="32" t="s">
        <v>347</v>
      </c>
      <c r="E247" s="32" t="s">
        <v>139</v>
      </c>
      <c r="F247" s="33">
        <v>9.0</v>
      </c>
      <c r="G247" s="33">
        <v>190.0</v>
      </c>
      <c r="H247" s="34">
        <v>29642.0</v>
      </c>
      <c r="I247" s="31">
        <v>3.0</v>
      </c>
      <c r="J247" s="35" t="s">
        <v>75</v>
      </c>
      <c r="K247" s="35" t="s">
        <v>76</v>
      </c>
      <c r="L247" s="35" t="s">
        <v>75</v>
      </c>
      <c r="M247" s="41">
        <v>271.0</v>
      </c>
      <c r="N247" s="30"/>
      <c r="O247" s="4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  <c r="AA247" s="30"/>
    </row>
    <row r="248" ht="18.75" customHeight="1">
      <c r="A248" s="31">
        <v>5131.0</v>
      </c>
      <c r="B248" s="32" t="s">
        <v>222</v>
      </c>
      <c r="C248" s="32" t="s">
        <v>73</v>
      </c>
      <c r="D248" s="32" t="s">
        <v>72</v>
      </c>
      <c r="E248" s="32" t="s">
        <v>74</v>
      </c>
      <c r="F248" s="33">
        <v>12.0</v>
      </c>
      <c r="G248" s="33">
        <v>184.0</v>
      </c>
      <c r="H248" s="34">
        <v>20337.0</v>
      </c>
      <c r="I248" s="31">
        <v>2.0</v>
      </c>
      <c r="J248" s="35" t="s">
        <v>75</v>
      </c>
      <c r="K248" s="35" t="s">
        <v>75</v>
      </c>
      <c r="L248" s="35" t="s">
        <v>75</v>
      </c>
      <c r="M248" s="41">
        <v>169.0</v>
      </c>
      <c r="N248" s="30"/>
      <c r="O248" s="4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  <c r="AA248" s="30"/>
    </row>
    <row r="249" ht="18.75" customHeight="1">
      <c r="A249" s="31">
        <v>5516.0</v>
      </c>
      <c r="B249" s="32" t="s">
        <v>184</v>
      </c>
      <c r="C249" s="32" t="s">
        <v>185</v>
      </c>
      <c r="D249" s="32" t="s">
        <v>185</v>
      </c>
      <c r="E249" s="32" t="s">
        <v>114</v>
      </c>
      <c r="F249" s="33">
        <v>14.0</v>
      </c>
      <c r="G249" s="33">
        <v>183.0</v>
      </c>
      <c r="H249" s="34">
        <v>21000.0</v>
      </c>
      <c r="I249" s="31">
        <v>3.0</v>
      </c>
      <c r="J249" s="35" t="s">
        <v>76</v>
      </c>
      <c r="K249" s="35" t="s">
        <v>76</v>
      </c>
      <c r="L249" s="35" t="s">
        <v>75</v>
      </c>
      <c r="M249" s="41">
        <v>48.0</v>
      </c>
      <c r="N249" s="30"/>
      <c r="O249" s="4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  <c r="AA249" s="30"/>
    </row>
    <row r="250" ht="18.75" customHeight="1">
      <c r="A250" s="31">
        <v>3910.0</v>
      </c>
      <c r="B250" s="32" t="s">
        <v>270</v>
      </c>
      <c r="C250" s="32" t="s">
        <v>231</v>
      </c>
      <c r="D250" s="32" t="s">
        <v>384</v>
      </c>
      <c r="E250" s="32" t="s">
        <v>88</v>
      </c>
      <c r="F250" s="33">
        <v>12.0</v>
      </c>
      <c r="G250" s="33">
        <v>167.0</v>
      </c>
      <c r="H250" s="34">
        <v>32186.0</v>
      </c>
      <c r="I250" s="31">
        <v>1.0</v>
      </c>
      <c r="J250" s="35" t="s">
        <v>76</v>
      </c>
      <c r="K250" s="35" t="s">
        <v>75</v>
      </c>
      <c r="L250" s="35" t="s">
        <v>75</v>
      </c>
      <c r="M250" s="41">
        <v>205.0</v>
      </c>
      <c r="N250" s="30"/>
      <c r="O250" s="4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  <c r="AA250" s="30"/>
    </row>
    <row r="251" ht="18.75" customHeight="1">
      <c r="A251" s="31">
        <v>3067.0</v>
      </c>
      <c r="B251" s="32" t="s">
        <v>117</v>
      </c>
      <c r="C251" s="32" t="s">
        <v>118</v>
      </c>
      <c r="D251" s="32" t="s">
        <v>117</v>
      </c>
      <c r="E251" s="32" t="s">
        <v>100</v>
      </c>
      <c r="F251" s="33">
        <v>14.0</v>
      </c>
      <c r="G251" s="33">
        <v>164.0</v>
      </c>
      <c r="H251" s="34">
        <v>34484.0</v>
      </c>
      <c r="I251" s="31">
        <v>10.0</v>
      </c>
      <c r="J251" s="35" t="s">
        <v>75</v>
      </c>
      <c r="K251" s="35" t="s">
        <v>76</v>
      </c>
      <c r="L251" s="35" t="s">
        <v>75</v>
      </c>
      <c r="M251" s="41">
        <v>79.0</v>
      </c>
      <c r="N251" s="30"/>
      <c r="O251" s="4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  <c r="AA251" s="30"/>
    </row>
    <row r="252" ht="18.75" customHeight="1">
      <c r="A252" s="31">
        <v>4992.0</v>
      </c>
      <c r="B252" s="32" t="s">
        <v>80</v>
      </c>
      <c r="C252" s="32" t="s">
        <v>81</v>
      </c>
      <c r="D252" s="32" t="s">
        <v>80</v>
      </c>
      <c r="E252" s="32" t="s">
        <v>82</v>
      </c>
      <c r="F252" s="33">
        <v>10.0</v>
      </c>
      <c r="G252" s="33">
        <v>160.0</v>
      </c>
      <c r="H252" s="34">
        <v>25834.0</v>
      </c>
      <c r="I252" s="31">
        <v>4.0</v>
      </c>
      <c r="J252" s="35" t="s">
        <v>76</v>
      </c>
      <c r="K252" s="35" t="s">
        <v>76</v>
      </c>
      <c r="L252" s="35" t="s">
        <v>76</v>
      </c>
      <c r="M252" s="41">
        <v>111.0</v>
      </c>
      <c r="N252" s="30"/>
      <c r="O252" s="4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  <c r="AA252" s="30"/>
    </row>
    <row r="253" ht="18.75" customHeight="1">
      <c r="A253" s="31">
        <v>2469.0</v>
      </c>
      <c r="B253" s="32" t="s">
        <v>271</v>
      </c>
      <c r="C253" s="32" t="s">
        <v>145</v>
      </c>
      <c r="D253" s="32" t="s">
        <v>144</v>
      </c>
      <c r="E253" s="32" t="s">
        <v>82</v>
      </c>
      <c r="F253" s="33">
        <v>15.0</v>
      </c>
      <c r="G253" s="33">
        <v>152.0</v>
      </c>
      <c r="H253" s="34">
        <v>20349.0</v>
      </c>
      <c r="I253" s="31">
        <v>3.0</v>
      </c>
      <c r="J253" s="35" t="s">
        <v>76</v>
      </c>
      <c r="K253" s="35" t="s">
        <v>76</v>
      </c>
      <c r="L253" s="35" t="s">
        <v>76</v>
      </c>
      <c r="M253" s="41">
        <v>206.0</v>
      </c>
      <c r="N253" s="30"/>
      <c r="O253" s="4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  <c r="AA253" s="30"/>
    </row>
    <row r="254" ht="18.75" customHeight="1">
      <c r="A254" s="31">
        <v>3969.0</v>
      </c>
      <c r="B254" s="32" t="s">
        <v>171</v>
      </c>
      <c r="C254" s="32" t="s">
        <v>172</v>
      </c>
      <c r="D254" s="32" t="s">
        <v>172</v>
      </c>
      <c r="E254" s="32" t="s">
        <v>85</v>
      </c>
      <c r="F254" s="33">
        <v>1.0</v>
      </c>
      <c r="G254" s="33">
        <v>149.0</v>
      </c>
      <c r="H254" s="34">
        <v>25385.0</v>
      </c>
      <c r="I254" s="31">
        <v>3.0</v>
      </c>
      <c r="J254" s="35" t="s">
        <v>76</v>
      </c>
      <c r="K254" s="35" t="s">
        <v>76</v>
      </c>
      <c r="L254" s="35" t="s">
        <v>76</v>
      </c>
      <c r="M254" s="41">
        <v>42.0</v>
      </c>
      <c r="N254" s="30"/>
      <c r="O254" s="4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  <c r="AA254" s="30"/>
    </row>
    <row r="255" ht="18.75" customHeight="1">
      <c r="A255" s="31">
        <v>4858.0</v>
      </c>
      <c r="B255" s="32" t="s">
        <v>357</v>
      </c>
      <c r="C255" s="32" t="s">
        <v>358</v>
      </c>
      <c r="D255" s="32" t="s">
        <v>358</v>
      </c>
      <c r="E255" s="32" t="s">
        <v>114</v>
      </c>
      <c r="F255" s="33">
        <v>7.0</v>
      </c>
      <c r="G255" s="33">
        <v>149.0</v>
      </c>
      <c r="H255" s="34">
        <v>28021.0</v>
      </c>
      <c r="I255" s="31">
        <v>8.0</v>
      </c>
      <c r="J255" s="35" t="s">
        <v>76</v>
      </c>
      <c r="K255" s="35" t="s">
        <v>75</v>
      </c>
      <c r="L255" s="35" t="s">
        <v>76</v>
      </c>
      <c r="M255" s="41">
        <v>281.0</v>
      </c>
      <c r="N255" s="30"/>
      <c r="O255" s="4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  <c r="AA255" s="30"/>
    </row>
    <row r="256" ht="18.75" customHeight="1">
      <c r="A256" s="31">
        <v>4455.0</v>
      </c>
      <c r="B256" s="32" t="s">
        <v>72</v>
      </c>
      <c r="C256" s="32" t="s">
        <v>73</v>
      </c>
      <c r="D256" s="32" t="s">
        <v>72</v>
      </c>
      <c r="E256" s="32" t="s">
        <v>74</v>
      </c>
      <c r="F256" s="33">
        <v>1.0</v>
      </c>
      <c r="G256" s="33">
        <v>137.0</v>
      </c>
      <c r="H256" s="36">
        <v>21850.0</v>
      </c>
      <c r="I256" s="31">
        <v>2.0</v>
      </c>
      <c r="J256" s="35" t="s">
        <v>75</v>
      </c>
      <c r="K256" s="35" t="s">
        <v>76</v>
      </c>
      <c r="L256" s="35" t="s">
        <v>75</v>
      </c>
      <c r="M256" s="41">
        <v>141.0</v>
      </c>
      <c r="N256" s="30"/>
      <c r="O256" s="4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  <c r="AA256" s="30"/>
    </row>
    <row r="257" ht="18.75" customHeight="1">
      <c r="A257" s="31">
        <v>4981.0</v>
      </c>
      <c r="B257" s="32" t="s">
        <v>367</v>
      </c>
      <c r="C257" s="32" t="s">
        <v>297</v>
      </c>
      <c r="D257" s="32" t="s">
        <v>390</v>
      </c>
      <c r="E257" s="32" t="s">
        <v>88</v>
      </c>
      <c r="F257" s="33">
        <v>15.0</v>
      </c>
      <c r="G257" s="33">
        <v>136.0</v>
      </c>
      <c r="H257" s="34">
        <v>24661.0</v>
      </c>
      <c r="I257" s="31">
        <v>8.0</v>
      </c>
      <c r="J257" s="35" t="s">
        <v>75</v>
      </c>
      <c r="K257" s="35" t="s">
        <v>76</v>
      </c>
      <c r="L257" s="35" t="s">
        <v>75</v>
      </c>
      <c r="M257" s="41">
        <v>289.0</v>
      </c>
      <c r="N257" s="30"/>
      <c r="O257" s="4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  <c r="AA257" s="30"/>
    </row>
    <row r="258" ht="18.75" customHeight="1">
      <c r="A258" s="31">
        <v>4012.0</v>
      </c>
      <c r="B258" s="32" t="s">
        <v>266</v>
      </c>
      <c r="C258" s="32" t="s">
        <v>81</v>
      </c>
      <c r="D258" s="32" t="s">
        <v>80</v>
      </c>
      <c r="E258" s="32" t="s">
        <v>82</v>
      </c>
      <c r="F258" s="33">
        <v>2.0</v>
      </c>
      <c r="G258" s="33">
        <v>130.0</v>
      </c>
      <c r="H258" s="34">
        <v>22034.0</v>
      </c>
      <c r="I258" s="31">
        <v>2.0</v>
      </c>
      <c r="J258" s="35" t="s">
        <v>76</v>
      </c>
      <c r="K258" s="35" t="s">
        <v>76</v>
      </c>
      <c r="L258" s="35" t="s">
        <v>75</v>
      </c>
      <c r="M258" s="41">
        <v>202.0</v>
      </c>
      <c r="N258" s="30"/>
      <c r="O258" s="4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  <c r="AA258" s="30"/>
    </row>
    <row r="259" ht="18.75" customHeight="1">
      <c r="A259" s="31">
        <v>4046.0</v>
      </c>
      <c r="B259" s="32" t="s">
        <v>140</v>
      </c>
      <c r="C259" s="32" t="s">
        <v>141</v>
      </c>
      <c r="D259" s="32" t="s">
        <v>141</v>
      </c>
      <c r="E259" s="32" t="s">
        <v>100</v>
      </c>
      <c r="F259" s="33">
        <v>1.0</v>
      </c>
      <c r="G259" s="33">
        <v>129.0</v>
      </c>
      <c r="H259" s="34">
        <v>33118.0</v>
      </c>
      <c r="I259" s="31">
        <v>2.0</v>
      </c>
      <c r="J259" s="35" t="s">
        <v>75</v>
      </c>
      <c r="K259" s="35" t="s">
        <v>75</v>
      </c>
      <c r="L259" s="35" t="s">
        <v>76</v>
      </c>
      <c r="M259" s="41">
        <v>89.0</v>
      </c>
      <c r="N259" s="30"/>
      <c r="O259" s="4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  <c r="AA259" s="30"/>
    </row>
    <row r="260" ht="18.75" customHeight="1">
      <c r="A260" s="31">
        <v>3065.0</v>
      </c>
      <c r="B260" s="32" t="s">
        <v>209</v>
      </c>
      <c r="C260" s="32" t="s">
        <v>73</v>
      </c>
      <c r="D260" s="32" t="s">
        <v>72</v>
      </c>
      <c r="E260" s="32" t="s">
        <v>74</v>
      </c>
      <c r="F260" s="33">
        <v>6.0</v>
      </c>
      <c r="G260" s="33">
        <v>127.0</v>
      </c>
      <c r="H260" s="34">
        <v>24608.0</v>
      </c>
      <c r="I260" s="31">
        <v>4.0</v>
      </c>
      <c r="J260" s="35" t="s">
        <v>76</v>
      </c>
      <c r="K260" s="35" t="s">
        <v>75</v>
      </c>
      <c r="L260" s="35" t="s">
        <v>76</v>
      </c>
      <c r="M260" s="41">
        <v>62.0</v>
      </c>
      <c r="N260" s="30"/>
      <c r="O260" s="4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  <c r="AA260" s="30"/>
    </row>
    <row r="261" ht="18.75" customHeight="1">
      <c r="A261" s="31">
        <v>5070.0</v>
      </c>
      <c r="B261" s="32" t="s">
        <v>282</v>
      </c>
      <c r="C261" s="32" t="s">
        <v>168</v>
      </c>
      <c r="D261" s="32" t="s">
        <v>167</v>
      </c>
      <c r="E261" s="32" t="s">
        <v>105</v>
      </c>
      <c r="F261" s="33">
        <v>4.0</v>
      </c>
      <c r="G261" s="33">
        <v>124.0</v>
      </c>
      <c r="H261" s="34">
        <v>23154.0</v>
      </c>
      <c r="I261" s="31">
        <v>1.0</v>
      </c>
      <c r="J261" s="35" t="s">
        <v>76</v>
      </c>
      <c r="K261" s="35" t="s">
        <v>76</v>
      </c>
      <c r="L261" s="35" t="s">
        <v>75</v>
      </c>
      <c r="M261" s="41">
        <v>215.0</v>
      </c>
      <c r="N261" s="30"/>
      <c r="O261" s="4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  <c r="AA261" s="30"/>
    </row>
    <row r="262" ht="18.75" customHeight="1">
      <c r="A262" s="31">
        <v>3033.0</v>
      </c>
      <c r="B262" s="32" t="s">
        <v>196</v>
      </c>
      <c r="C262" s="32" t="s">
        <v>197</v>
      </c>
      <c r="D262" s="32" t="s">
        <v>197</v>
      </c>
      <c r="E262" s="32" t="s">
        <v>125</v>
      </c>
      <c r="F262" s="33">
        <v>11.0</v>
      </c>
      <c r="G262" s="33">
        <v>121.0</v>
      </c>
      <c r="H262" s="34">
        <v>33786.0</v>
      </c>
      <c r="I262" s="31">
        <v>9.0</v>
      </c>
      <c r="J262" s="35" t="s">
        <v>76</v>
      </c>
      <c r="K262" s="35" t="s">
        <v>76</v>
      </c>
      <c r="L262" s="35" t="s">
        <v>75</v>
      </c>
      <c r="M262" s="41">
        <v>55.0</v>
      </c>
      <c r="N262" s="30"/>
      <c r="O262" s="4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  <c r="AA262" s="30"/>
    </row>
    <row r="263" ht="18.75" customHeight="1">
      <c r="A263" s="31">
        <v>3894.0</v>
      </c>
      <c r="B263" s="32" t="s">
        <v>360</v>
      </c>
      <c r="C263" s="32" t="s">
        <v>361</v>
      </c>
      <c r="D263" s="32" t="s">
        <v>361</v>
      </c>
      <c r="E263" s="32" t="s">
        <v>105</v>
      </c>
      <c r="F263" s="33">
        <v>11.0</v>
      </c>
      <c r="G263" s="33">
        <v>121.0</v>
      </c>
      <c r="H263" s="34">
        <v>27270.0</v>
      </c>
      <c r="I263" s="31">
        <v>1.0</v>
      </c>
      <c r="J263" s="35" t="s">
        <v>76</v>
      </c>
      <c r="K263" s="35" t="s">
        <v>76</v>
      </c>
      <c r="L263" s="35" t="s">
        <v>75</v>
      </c>
      <c r="M263" s="41">
        <v>283.0</v>
      </c>
      <c r="N263" s="30"/>
      <c r="O263" s="4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  <c r="AA263" s="30"/>
    </row>
    <row r="264" ht="18.75" customHeight="1">
      <c r="A264" s="31">
        <v>3819.0</v>
      </c>
      <c r="B264" s="32" t="s">
        <v>264</v>
      </c>
      <c r="C264" s="32" t="s">
        <v>96</v>
      </c>
      <c r="D264" s="32" t="s">
        <v>96</v>
      </c>
      <c r="E264" s="32" t="s">
        <v>97</v>
      </c>
      <c r="F264" s="33">
        <v>15.0</v>
      </c>
      <c r="G264" s="33">
        <v>118.0</v>
      </c>
      <c r="H264" s="34">
        <v>26305.0</v>
      </c>
      <c r="I264" s="31">
        <v>6.0</v>
      </c>
      <c r="J264" s="35" t="s">
        <v>76</v>
      </c>
      <c r="K264" s="35" t="s">
        <v>76</v>
      </c>
      <c r="L264" s="35" t="s">
        <v>76</v>
      </c>
      <c r="M264" s="41">
        <v>200.0</v>
      </c>
      <c r="N264" s="30"/>
      <c r="O264" s="4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  <c r="AA264" s="30"/>
    </row>
    <row r="265" ht="18.75" customHeight="1">
      <c r="A265" s="31">
        <v>5378.0</v>
      </c>
      <c r="B265" s="32" t="s">
        <v>86</v>
      </c>
      <c r="C265" s="32" t="s">
        <v>87</v>
      </c>
      <c r="D265" s="32" t="s">
        <v>86</v>
      </c>
      <c r="E265" s="32" t="s">
        <v>88</v>
      </c>
      <c r="F265" s="33">
        <v>10.0</v>
      </c>
      <c r="G265" s="33">
        <v>115.0</v>
      </c>
      <c r="H265" s="34">
        <v>20168.0</v>
      </c>
      <c r="I265" s="31">
        <v>10.0</v>
      </c>
      <c r="J265" s="35" t="s">
        <v>75</v>
      </c>
      <c r="K265" s="35" t="s">
        <v>75</v>
      </c>
      <c r="L265" s="35" t="s">
        <v>75</v>
      </c>
      <c r="M265" s="41">
        <v>94.0</v>
      </c>
      <c r="N265" s="30"/>
      <c r="O265" s="4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  <c r="AA265" s="30"/>
    </row>
    <row r="266" ht="18.75" customHeight="1">
      <c r="A266" s="31">
        <v>4619.0</v>
      </c>
      <c r="B266" s="32" t="s">
        <v>92</v>
      </c>
      <c r="C266" s="32" t="s">
        <v>93</v>
      </c>
      <c r="D266" s="32" t="s">
        <v>92</v>
      </c>
      <c r="E266" s="32" t="s">
        <v>94</v>
      </c>
      <c r="F266" s="33">
        <v>1.0</v>
      </c>
      <c r="G266" s="33">
        <v>113.0</v>
      </c>
      <c r="H266" s="34">
        <v>20901.0</v>
      </c>
      <c r="I266" s="31">
        <v>4.0</v>
      </c>
      <c r="J266" s="35" t="s">
        <v>75</v>
      </c>
      <c r="K266" s="35" t="s">
        <v>76</v>
      </c>
      <c r="L266" s="35" t="s">
        <v>76</v>
      </c>
      <c r="M266" s="41">
        <v>69.0</v>
      </c>
      <c r="N266" s="30"/>
      <c r="O266" s="4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  <c r="AA266" s="30"/>
    </row>
    <row r="267" ht="18.75" customHeight="1">
      <c r="A267" s="31">
        <v>5459.0</v>
      </c>
      <c r="B267" s="32" t="s">
        <v>295</v>
      </c>
      <c r="C267" s="32" t="s">
        <v>127</v>
      </c>
      <c r="D267" s="32" t="s">
        <v>126</v>
      </c>
      <c r="E267" s="32" t="s">
        <v>94</v>
      </c>
      <c r="F267" s="33">
        <v>3.0</v>
      </c>
      <c r="G267" s="33">
        <v>106.0</v>
      </c>
      <c r="H267" s="34">
        <v>24859.0</v>
      </c>
      <c r="I267" s="31">
        <v>8.0</v>
      </c>
      <c r="J267" s="35" t="s">
        <v>76</v>
      </c>
      <c r="K267" s="35" t="s">
        <v>76</v>
      </c>
      <c r="L267" s="35" t="s">
        <v>76</v>
      </c>
      <c r="M267" s="41">
        <v>225.0</v>
      </c>
      <c r="N267" s="30"/>
      <c r="O267" s="4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  <c r="AA267" s="30"/>
    </row>
    <row r="268" ht="18.75" customHeight="1">
      <c r="A268" s="31">
        <v>2910.0</v>
      </c>
      <c r="B268" s="32" t="s">
        <v>95</v>
      </c>
      <c r="C268" s="32" t="s">
        <v>96</v>
      </c>
      <c r="D268" s="32" t="s">
        <v>96</v>
      </c>
      <c r="E268" s="32" t="s">
        <v>97</v>
      </c>
      <c r="F268" s="33">
        <v>14.0</v>
      </c>
      <c r="G268" s="33">
        <v>105.0</v>
      </c>
      <c r="H268" s="34">
        <v>25115.0</v>
      </c>
      <c r="I268" s="31">
        <v>10.0</v>
      </c>
      <c r="J268" s="35" t="s">
        <v>75</v>
      </c>
      <c r="K268" s="35" t="s">
        <v>76</v>
      </c>
      <c r="L268" s="35" t="s">
        <v>75</v>
      </c>
      <c r="M268" s="41">
        <v>70.0</v>
      </c>
      <c r="N268" s="30"/>
      <c r="O268" s="4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  <c r="AA268" s="30"/>
    </row>
    <row r="269" ht="18.75" customHeight="1">
      <c r="A269" s="31">
        <v>3380.0</v>
      </c>
      <c r="B269" s="32" t="s">
        <v>121</v>
      </c>
      <c r="C269" s="32" t="s">
        <v>122</v>
      </c>
      <c r="D269" s="32" t="s">
        <v>122</v>
      </c>
      <c r="E269" s="32" t="s">
        <v>94</v>
      </c>
      <c r="F269" s="33">
        <v>1.0</v>
      </c>
      <c r="G269" s="33">
        <v>104.0</v>
      </c>
      <c r="H269" s="36">
        <v>35002.0</v>
      </c>
      <c r="I269" s="31">
        <v>10.0</v>
      </c>
      <c r="J269" s="35" t="s">
        <v>75</v>
      </c>
      <c r="K269" s="35" t="s">
        <v>76</v>
      </c>
      <c r="L269" s="35" t="s">
        <v>76</v>
      </c>
      <c r="M269" s="41">
        <v>81.0</v>
      </c>
      <c r="N269" s="30"/>
      <c r="O269" s="4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  <c r="AA269" s="30"/>
    </row>
    <row r="270" ht="18.75" customHeight="1">
      <c r="A270" s="31">
        <v>4657.0</v>
      </c>
      <c r="B270" s="32" t="s">
        <v>144</v>
      </c>
      <c r="C270" s="32" t="s">
        <v>145</v>
      </c>
      <c r="D270" s="32" t="s">
        <v>144</v>
      </c>
      <c r="E270" s="32" t="s">
        <v>82</v>
      </c>
      <c r="F270" s="33">
        <v>5.0</v>
      </c>
      <c r="G270" s="33">
        <v>95.0</v>
      </c>
      <c r="H270" s="34">
        <v>30572.0</v>
      </c>
      <c r="I270" s="31">
        <v>2.0</v>
      </c>
      <c r="J270" s="35" t="s">
        <v>76</v>
      </c>
      <c r="K270" s="35" t="s">
        <v>75</v>
      </c>
      <c r="L270" s="35" t="s">
        <v>75</v>
      </c>
      <c r="M270" s="41">
        <v>29.0</v>
      </c>
      <c r="N270" s="30"/>
      <c r="O270" s="4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  <c r="AA270" s="30"/>
    </row>
    <row r="271" ht="18.75" customHeight="1">
      <c r="A271" s="31">
        <v>4940.0</v>
      </c>
      <c r="B271" s="32" t="s">
        <v>72</v>
      </c>
      <c r="C271" s="32" t="s">
        <v>73</v>
      </c>
      <c r="D271" s="32" t="s">
        <v>72</v>
      </c>
      <c r="E271" s="32" t="s">
        <v>74</v>
      </c>
      <c r="F271" s="33">
        <v>5.0</v>
      </c>
      <c r="G271" s="33">
        <v>95.0</v>
      </c>
      <c r="H271" s="34">
        <v>33418.0</v>
      </c>
      <c r="I271" s="31">
        <v>10.0</v>
      </c>
      <c r="J271" s="35" t="s">
        <v>75</v>
      </c>
      <c r="K271" s="35" t="s">
        <v>75</v>
      </c>
      <c r="L271" s="35" t="s">
        <v>76</v>
      </c>
      <c r="M271" s="41">
        <v>121.0</v>
      </c>
      <c r="N271" s="30"/>
      <c r="O271" s="4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  <c r="AA271" s="30"/>
    </row>
    <row r="272" ht="18.75" customHeight="1">
      <c r="A272" s="31">
        <v>2986.0</v>
      </c>
      <c r="B272" s="32" t="s">
        <v>130</v>
      </c>
      <c r="C272" s="32" t="s">
        <v>131</v>
      </c>
      <c r="D272" s="32" t="s">
        <v>130</v>
      </c>
      <c r="E272" s="32" t="s">
        <v>132</v>
      </c>
      <c r="F272" s="33">
        <v>15.0</v>
      </c>
      <c r="G272" s="33">
        <v>85.0</v>
      </c>
      <c r="H272" s="34">
        <v>31483.0</v>
      </c>
      <c r="I272" s="31">
        <v>8.0</v>
      </c>
      <c r="J272" s="35" t="s">
        <v>76</v>
      </c>
      <c r="K272" s="35" t="s">
        <v>75</v>
      </c>
      <c r="L272" s="35" t="s">
        <v>75</v>
      </c>
      <c r="M272" s="41">
        <v>85.0</v>
      </c>
      <c r="N272" s="30"/>
      <c r="O272" s="4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  <c r="AA272" s="30"/>
    </row>
    <row r="273" ht="18.75" customHeight="1">
      <c r="A273" s="31">
        <v>4290.0</v>
      </c>
      <c r="B273" s="32" t="s">
        <v>252</v>
      </c>
      <c r="C273" s="32" t="s">
        <v>233</v>
      </c>
      <c r="D273" s="32" t="s">
        <v>233</v>
      </c>
      <c r="E273" s="32" t="s">
        <v>179</v>
      </c>
      <c r="F273" s="33">
        <v>1.0</v>
      </c>
      <c r="G273" s="33">
        <v>83.0</v>
      </c>
      <c r="H273" s="36">
        <v>25529.0</v>
      </c>
      <c r="I273" s="31">
        <v>9.0</v>
      </c>
      <c r="J273" s="35" t="s">
        <v>75</v>
      </c>
      <c r="K273" s="35" t="s">
        <v>76</v>
      </c>
      <c r="L273" s="35" t="s">
        <v>75</v>
      </c>
      <c r="M273" s="41">
        <v>191.0</v>
      </c>
      <c r="N273" s="30"/>
      <c r="O273" s="4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  <c r="AA273" s="30"/>
    </row>
    <row r="274" ht="18.75" customHeight="1">
      <c r="A274" s="31">
        <v>4343.0</v>
      </c>
      <c r="B274" s="32" t="s">
        <v>108</v>
      </c>
      <c r="C274" s="32" t="s">
        <v>109</v>
      </c>
      <c r="D274" s="32" t="s">
        <v>109</v>
      </c>
      <c r="E274" s="32" t="s">
        <v>88</v>
      </c>
      <c r="F274" s="33">
        <v>15.0</v>
      </c>
      <c r="G274" s="33">
        <v>80.0</v>
      </c>
      <c r="H274" s="34">
        <v>27395.0</v>
      </c>
      <c r="I274" s="31">
        <v>2.0</v>
      </c>
      <c r="J274" s="35" t="s">
        <v>76</v>
      </c>
      <c r="K274" s="35" t="s">
        <v>76</v>
      </c>
      <c r="L274" s="35" t="s">
        <v>75</v>
      </c>
      <c r="M274" s="41">
        <v>75.0</v>
      </c>
      <c r="N274" s="30"/>
      <c r="O274" s="4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  <c r="AA274" s="30"/>
    </row>
    <row r="275" ht="18.75" customHeight="1">
      <c r="A275" s="31">
        <v>4074.0</v>
      </c>
      <c r="B275" s="32" t="s">
        <v>86</v>
      </c>
      <c r="C275" s="32" t="s">
        <v>87</v>
      </c>
      <c r="D275" s="32" t="s">
        <v>86</v>
      </c>
      <c r="E275" s="32" t="s">
        <v>88</v>
      </c>
      <c r="F275" s="33">
        <v>10.0</v>
      </c>
      <c r="G275" s="33">
        <v>78.0</v>
      </c>
      <c r="H275" s="34">
        <v>34709.0</v>
      </c>
      <c r="I275" s="31">
        <v>9.0</v>
      </c>
      <c r="J275" s="35" t="s">
        <v>76</v>
      </c>
      <c r="K275" s="35" t="s">
        <v>75</v>
      </c>
      <c r="L275" s="35" t="s">
        <v>75</v>
      </c>
      <c r="M275" s="41">
        <v>67.0</v>
      </c>
      <c r="N275" s="30"/>
      <c r="O275" s="4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  <c r="AA275" s="30"/>
    </row>
    <row r="276" ht="18.75" customHeight="1">
      <c r="A276" s="31">
        <v>4553.0</v>
      </c>
      <c r="B276" s="32" t="s">
        <v>106</v>
      </c>
      <c r="C276" s="32" t="s">
        <v>107</v>
      </c>
      <c r="D276" s="32" t="s">
        <v>106</v>
      </c>
      <c r="E276" s="32" t="s">
        <v>105</v>
      </c>
      <c r="F276" s="33">
        <v>10.0</v>
      </c>
      <c r="G276" s="33">
        <v>72.0</v>
      </c>
      <c r="H276" s="34">
        <v>20585.0</v>
      </c>
      <c r="I276" s="31">
        <v>5.0</v>
      </c>
      <c r="J276" s="35" t="s">
        <v>75</v>
      </c>
      <c r="K276" s="35" t="s">
        <v>75</v>
      </c>
      <c r="L276" s="35" t="s">
        <v>75</v>
      </c>
      <c r="M276" s="41">
        <v>74.0</v>
      </c>
      <c r="N276" s="30"/>
      <c r="O276" s="4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  <c r="AA276" s="30"/>
    </row>
    <row r="277" ht="18.75" customHeight="1">
      <c r="A277" s="31">
        <v>5592.0</v>
      </c>
      <c r="B277" s="32" t="s">
        <v>133</v>
      </c>
      <c r="C277" s="32" t="s">
        <v>134</v>
      </c>
      <c r="D277" s="32" t="s">
        <v>133</v>
      </c>
      <c r="E277" s="32" t="s">
        <v>97</v>
      </c>
      <c r="F277" s="33">
        <v>3.0</v>
      </c>
      <c r="G277" s="33">
        <v>71.0</v>
      </c>
      <c r="H277" s="34">
        <v>33488.0</v>
      </c>
      <c r="I277" s="31">
        <v>3.0</v>
      </c>
      <c r="J277" s="35" t="s">
        <v>76</v>
      </c>
      <c r="K277" s="35" t="s">
        <v>75</v>
      </c>
      <c r="L277" s="35" t="s">
        <v>75</v>
      </c>
      <c r="M277" s="41">
        <v>24.0</v>
      </c>
      <c r="N277" s="30"/>
      <c r="O277" s="4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  <c r="AA277" s="30"/>
    </row>
    <row r="278" ht="18.75" customHeight="1">
      <c r="A278" s="31">
        <v>5282.0</v>
      </c>
      <c r="B278" s="32" t="s">
        <v>72</v>
      </c>
      <c r="C278" s="32" t="s">
        <v>73</v>
      </c>
      <c r="D278" s="32" t="s">
        <v>72</v>
      </c>
      <c r="E278" s="32" t="s">
        <v>74</v>
      </c>
      <c r="F278" s="33">
        <v>5.0</v>
      </c>
      <c r="G278" s="33">
        <v>68.0</v>
      </c>
      <c r="H278" s="34">
        <v>31079.0</v>
      </c>
      <c r="I278" s="31">
        <v>3.0</v>
      </c>
      <c r="J278" s="35" t="s">
        <v>75</v>
      </c>
      <c r="K278" s="35" t="s">
        <v>75</v>
      </c>
      <c r="L278" s="35" t="s">
        <v>76</v>
      </c>
      <c r="M278" s="41">
        <v>145.0</v>
      </c>
      <c r="N278" s="30"/>
      <c r="O278" s="4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  <c r="AA278" s="30"/>
    </row>
    <row r="279" ht="18.75" customHeight="1">
      <c r="A279" s="31">
        <v>2371.0</v>
      </c>
      <c r="B279" s="32" t="s">
        <v>263</v>
      </c>
      <c r="C279" s="32" t="s">
        <v>78</v>
      </c>
      <c r="D279" s="32" t="s">
        <v>77</v>
      </c>
      <c r="E279" s="32" t="s">
        <v>79</v>
      </c>
      <c r="F279" s="33">
        <v>12.0</v>
      </c>
      <c r="G279" s="33">
        <v>66.0</v>
      </c>
      <c r="H279" s="34">
        <v>31954.0</v>
      </c>
      <c r="I279" s="31">
        <v>8.0</v>
      </c>
      <c r="J279" s="35" t="s">
        <v>75</v>
      </c>
      <c r="K279" s="35" t="s">
        <v>75</v>
      </c>
      <c r="L279" s="35" t="s">
        <v>76</v>
      </c>
      <c r="M279" s="41">
        <v>199.0</v>
      </c>
      <c r="N279" s="30"/>
      <c r="O279" s="4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  <c r="AA279" s="30"/>
    </row>
    <row r="280" ht="18.75" customHeight="1">
      <c r="A280" s="31">
        <v>5523.0</v>
      </c>
      <c r="B280" s="32" t="s">
        <v>198</v>
      </c>
      <c r="C280" s="32" t="s">
        <v>199</v>
      </c>
      <c r="D280" s="32" t="s">
        <v>199</v>
      </c>
      <c r="E280" s="32" t="s">
        <v>97</v>
      </c>
      <c r="F280" s="33">
        <v>15.0</v>
      </c>
      <c r="G280" s="33">
        <v>59.0</v>
      </c>
      <c r="H280" s="34">
        <v>22434.0</v>
      </c>
      <c r="I280" s="31">
        <v>7.0</v>
      </c>
      <c r="J280" s="35" t="s">
        <v>75</v>
      </c>
      <c r="K280" s="35" t="s">
        <v>76</v>
      </c>
      <c r="L280" s="35" t="s">
        <v>76</v>
      </c>
      <c r="M280" s="41">
        <v>56.0</v>
      </c>
      <c r="N280" s="30"/>
      <c r="O280" s="4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  <c r="AA280" s="30"/>
    </row>
    <row r="281" ht="18.75" customHeight="1">
      <c r="A281" s="31">
        <v>3363.0</v>
      </c>
      <c r="B281" s="32" t="s">
        <v>326</v>
      </c>
      <c r="C281" s="32" t="s">
        <v>145</v>
      </c>
      <c r="D281" s="32" t="s">
        <v>144</v>
      </c>
      <c r="E281" s="32" t="s">
        <v>82</v>
      </c>
      <c r="F281" s="33">
        <v>5.0</v>
      </c>
      <c r="G281" s="33">
        <v>58.0</v>
      </c>
      <c r="H281" s="34">
        <v>22159.0</v>
      </c>
      <c r="I281" s="31">
        <v>1.0</v>
      </c>
      <c r="J281" s="35" t="s">
        <v>75</v>
      </c>
      <c r="K281" s="35" t="s">
        <v>76</v>
      </c>
      <c r="L281" s="35" t="s">
        <v>76</v>
      </c>
      <c r="M281" s="41">
        <v>253.0</v>
      </c>
      <c r="N281" s="30"/>
      <c r="O281" s="4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  <c r="AA281" s="30"/>
    </row>
    <row r="282" ht="18.75" customHeight="1">
      <c r="A282" s="31">
        <v>4741.0</v>
      </c>
      <c r="B282" s="32" t="s">
        <v>80</v>
      </c>
      <c r="C282" s="32" t="s">
        <v>81</v>
      </c>
      <c r="D282" s="32" t="s">
        <v>80</v>
      </c>
      <c r="E282" s="32" t="s">
        <v>82</v>
      </c>
      <c r="F282" s="33">
        <v>13.0</v>
      </c>
      <c r="G282" s="33">
        <v>55.0</v>
      </c>
      <c r="H282" s="36">
        <v>28058.0</v>
      </c>
      <c r="I282" s="31">
        <v>7.0</v>
      </c>
      <c r="J282" s="35" t="s">
        <v>76</v>
      </c>
      <c r="K282" s="35" t="s">
        <v>76</v>
      </c>
      <c r="L282" s="35" t="s">
        <v>76</v>
      </c>
      <c r="M282" s="41">
        <v>135.0</v>
      </c>
      <c r="N282" s="30"/>
      <c r="O282" s="4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  <c r="AA282" s="30"/>
    </row>
    <row r="283" ht="18.75" customHeight="1">
      <c r="A283" s="31">
        <v>2400.0</v>
      </c>
      <c r="B283" s="32" t="s">
        <v>328</v>
      </c>
      <c r="C283" s="32" t="s">
        <v>174</v>
      </c>
      <c r="D283" s="32" t="s">
        <v>174</v>
      </c>
      <c r="E283" s="32" t="s">
        <v>166</v>
      </c>
      <c r="F283" s="33">
        <v>2.0</v>
      </c>
      <c r="G283" s="33">
        <v>54.0</v>
      </c>
      <c r="H283" s="34">
        <v>27199.0</v>
      </c>
      <c r="I283" s="31">
        <v>2.0</v>
      </c>
      <c r="J283" s="35" t="s">
        <v>75</v>
      </c>
      <c r="K283" s="35" t="s">
        <v>76</v>
      </c>
      <c r="L283" s="35" t="s">
        <v>75</v>
      </c>
      <c r="M283" s="41">
        <v>255.0</v>
      </c>
      <c r="N283" s="30"/>
      <c r="O283" s="4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  <c r="AA283" s="30"/>
    </row>
    <row r="284" ht="18.75" customHeight="1">
      <c r="A284" s="31">
        <v>2629.0</v>
      </c>
      <c r="B284" s="32" t="s">
        <v>202</v>
      </c>
      <c r="C284" s="32" t="s">
        <v>203</v>
      </c>
      <c r="D284" s="32" t="s">
        <v>203</v>
      </c>
      <c r="E284" s="32" t="s">
        <v>97</v>
      </c>
      <c r="F284" s="33">
        <v>5.0</v>
      </c>
      <c r="G284" s="33">
        <v>52.0</v>
      </c>
      <c r="H284" s="34">
        <v>34820.0</v>
      </c>
      <c r="I284" s="31">
        <v>2.0</v>
      </c>
      <c r="J284" s="35" t="s">
        <v>75</v>
      </c>
      <c r="K284" s="35" t="s">
        <v>76</v>
      </c>
      <c r="L284" s="35" t="s">
        <v>75</v>
      </c>
      <c r="M284" s="41">
        <v>58.0</v>
      </c>
      <c r="N284" s="30"/>
      <c r="O284" s="4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  <c r="AA284" s="30"/>
    </row>
    <row r="285" ht="18.75" customHeight="1">
      <c r="A285" s="31">
        <v>4353.0</v>
      </c>
      <c r="B285" s="32" t="s">
        <v>349</v>
      </c>
      <c r="C285" s="32" t="s">
        <v>73</v>
      </c>
      <c r="D285" s="32" t="s">
        <v>72</v>
      </c>
      <c r="E285" s="32" t="s">
        <v>74</v>
      </c>
      <c r="F285" s="33">
        <v>13.0</v>
      </c>
      <c r="G285" s="33">
        <v>47.0</v>
      </c>
      <c r="H285" s="34">
        <v>25395.0</v>
      </c>
      <c r="I285" s="31">
        <v>4.0</v>
      </c>
      <c r="J285" s="35" t="s">
        <v>75</v>
      </c>
      <c r="K285" s="35" t="s">
        <v>76</v>
      </c>
      <c r="L285" s="35" t="s">
        <v>76</v>
      </c>
      <c r="M285" s="41">
        <v>273.0</v>
      </c>
      <c r="N285" s="30"/>
      <c r="O285" s="4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  <c r="AA285" s="30"/>
    </row>
    <row r="286" ht="18.75" customHeight="1">
      <c r="A286" s="31">
        <v>3573.0</v>
      </c>
      <c r="B286" s="32" t="s">
        <v>135</v>
      </c>
      <c r="C286" s="32" t="s">
        <v>136</v>
      </c>
      <c r="D286" s="32" t="s">
        <v>136</v>
      </c>
      <c r="E286" s="32" t="s">
        <v>94</v>
      </c>
      <c r="F286" s="33">
        <v>2.0</v>
      </c>
      <c r="G286" s="33">
        <v>38.0</v>
      </c>
      <c r="H286" s="34">
        <v>27002.0</v>
      </c>
      <c r="I286" s="31">
        <v>7.0</v>
      </c>
      <c r="J286" s="35" t="s">
        <v>76</v>
      </c>
      <c r="K286" s="35" t="s">
        <v>75</v>
      </c>
      <c r="L286" s="35" t="s">
        <v>76</v>
      </c>
      <c r="M286" s="41">
        <v>25.0</v>
      </c>
      <c r="N286" s="30"/>
      <c r="O286" s="4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  <c r="AA286" s="30"/>
    </row>
    <row r="287" ht="18.75" customHeight="1">
      <c r="A287" s="31">
        <v>2857.0</v>
      </c>
      <c r="B287" s="32" t="s">
        <v>200</v>
      </c>
      <c r="C287" s="32" t="s">
        <v>201</v>
      </c>
      <c r="D287" s="32" t="s">
        <v>200</v>
      </c>
      <c r="E287" s="32" t="s">
        <v>100</v>
      </c>
      <c r="F287" s="33">
        <v>7.0</v>
      </c>
      <c r="G287" s="33">
        <v>37.0</v>
      </c>
      <c r="H287" s="34">
        <v>33609.0</v>
      </c>
      <c r="I287" s="31">
        <v>9.0</v>
      </c>
      <c r="J287" s="35" t="s">
        <v>75</v>
      </c>
      <c r="K287" s="35" t="s">
        <v>76</v>
      </c>
      <c r="L287" s="35" t="s">
        <v>75</v>
      </c>
      <c r="M287" s="41">
        <v>57.0</v>
      </c>
      <c r="N287" s="30"/>
      <c r="O287" s="4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  <c r="AA287" s="30"/>
    </row>
    <row r="288" ht="18.75" customHeight="1">
      <c r="A288" s="31">
        <v>3354.0</v>
      </c>
      <c r="B288" s="32" t="s">
        <v>80</v>
      </c>
      <c r="C288" s="32" t="s">
        <v>81</v>
      </c>
      <c r="D288" s="32" t="s">
        <v>80</v>
      </c>
      <c r="E288" s="32" t="s">
        <v>82</v>
      </c>
      <c r="F288" s="33">
        <v>6.0</v>
      </c>
      <c r="G288" s="33">
        <v>36.0</v>
      </c>
      <c r="H288" s="34">
        <v>31653.0</v>
      </c>
      <c r="I288" s="31">
        <v>8.0</v>
      </c>
      <c r="J288" s="35" t="s">
        <v>75</v>
      </c>
      <c r="K288" s="35" t="s">
        <v>76</v>
      </c>
      <c r="L288" s="35" t="s">
        <v>75</v>
      </c>
      <c r="M288" s="41">
        <v>119.0</v>
      </c>
      <c r="N288" s="30"/>
      <c r="O288" s="4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  <c r="AA288" s="30"/>
    </row>
    <row r="289" ht="18.75" customHeight="1">
      <c r="A289" s="31">
        <v>2677.0</v>
      </c>
      <c r="B289" s="32" t="s">
        <v>191</v>
      </c>
      <c r="C289" s="32" t="s">
        <v>192</v>
      </c>
      <c r="D289" s="32" t="s">
        <v>192</v>
      </c>
      <c r="E289" s="32" t="s">
        <v>179</v>
      </c>
      <c r="F289" s="33">
        <v>11.0</v>
      </c>
      <c r="G289" s="33">
        <v>33.0</v>
      </c>
      <c r="H289" s="34">
        <v>23489.0</v>
      </c>
      <c r="I289" s="31">
        <v>6.0</v>
      </c>
      <c r="J289" s="35" t="s">
        <v>75</v>
      </c>
      <c r="K289" s="35" t="s">
        <v>76</v>
      </c>
      <c r="L289" s="35" t="s">
        <v>75</v>
      </c>
      <c r="M289" s="41">
        <v>52.0</v>
      </c>
      <c r="N289" s="30"/>
      <c r="O289" s="4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  <c r="AA289" s="30"/>
    </row>
    <row r="290" ht="18.75" customHeight="1">
      <c r="A290" s="31">
        <v>5052.0</v>
      </c>
      <c r="B290" s="32" t="s">
        <v>101</v>
      </c>
      <c r="C290" s="32" t="s">
        <v>102</v>
      </c>
      <c r="D290" s="32" t="s">
        <v>101</v>
      </c>
      <c r="E290" s="32" t="s">
        <v>88</v>
      </c>
      <c r="F290" s="33">
        <v>2.0</v>
      </c>
      <c r="G290" s="33">
        <v>33.0</v>
      </c>
      <c r="H290" s="34">
        <v>26071.0</v>
      </c>
      <c r="I290" s="31">
        <v>10.0</v>
      </c>
      <c r="J290" s="35" t="s">
        <v>76</v>
      </c>
      <c r="K290" s="35" t="s">
        <v>76</v>
      </c>
      <c r="L290" s="35" t="s">
        <v>75</v>
      </c>
      <c r="M290" s="41">
        <v>72.0</v>
      </c>
      <c r="N290" s="30"/>
      <c r="O290" s="4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  <c r="AA290" s="30"/>
    </row>
    <row r="291" ht="18.75" customHeight="1">
      <c r="A291" s="31">
        <v>4496.0</v>
      </c>
      <c r="B291" s="32" t="s">
        <v>83</v>
      </c>
      <c r="C291" s="32" t="s">
        <v>84</v>
      </c>
      <c r="D291" s="32" t="s">
        <v>83</v>
      </c>
      <c r="E291" s="32" t="s">
        <v>85</v>
      </c>
      <c r="F291" s="33">
        <v>15.0</v>
      </c>
      <c r="G291" s="33">
        <v>28.0</v>
      </c>
      <c r="H291" s="34">
        <v>21658.0</v>
      </c>
      <c r="I291" s="31">
        <v>4.0</v>
      </c>
      <c r="J291" s="35" t="s">
        <v>75</v>
      </c>
      <c r="K291" s="35" t="s">
        <v>75</v>
      </c>
      <c r="L291" s="35" t="s">
        <v>76</v>
      </c>
      <c r="M291" s="41">
        <v>120.0</v>
      </c>
      <c r="N291" s="30"/>
      <c r="O291" s="4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  <c r="AA291" s="30"/>
    </row>
    <row r="292" ht="18.75" customHeight="1">
      <c r="A292" s="31">
        <v>3936.0</v>
      </c>
      <c r="B292" s="32" t="s">
        <v>175</v>
      </c>
      <c r="C292" s="32" t="s">
        <v>176</v>
      </c>
      <c r="D292" s="32" t="s">
        <v>176</v>
      </c>
      <c r="E292" s="32" t="s">
        <v>94</v>
      </c>
      <c r="F292" s="33">
        <v>11.0</v>
      </c>
      <c r="G292" s="33">
        <v>27.0</v>
      </c>
      <c r="H292" s="34">
        <v>29124.0</v>
      </c>
      <c r="I292" s="31">
        <v>9.0</v>
      </c>
      <c r="J292" s="35" t="s">
        <v>76</v>
      </c>
      <c r="K292" s="35" t="s">
        <v>76</v>
      </c>
      <c r="L292" s="35" t="s">
        <v>75</v>
      </c>
      <c r="M292" s="41">
        <v>44.0</v>
      </c>
      <c r="N292" s="30"/>
      <c r="O292" s="4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  <c r="AA292" s="30"/>
    </row>
    <row r="293" ht="18.75" customHeight="1">
      <c r="A293" s="31">
        <v>5059.0</v>
      </c>
      <c r="B293" s="32" t="s">
        <v>98</v>
      </c>
      <c r="C293" s="32" t="s">
        <v>99</v>
      </c>
      <c r="D293" s="32" t="s">
        <v>98</v>
      </c>
      <c r="E293" s="32" t="s">
        <v>100</v>
      </c>
      <c r="F293" s="33">
        <v>15.0</v>
      </c>
      <c r="G293" s="33">
        <v>26.0</v>
      </c>
      <c r="H293" s="34">
        <v>34599.0</v>
      </c>
      <c r="I293" s="31">
        <v>7.0</v>
      </c>
      <c r="J293" s="35" t="s">
        <v>76</v>
      </c>
      <c r="K293" s="35" t="s">
        <v>75</v>
      </c>
      <c r="L293" s="35" t="s">
        <v>75</v>
      </c>
      <c r="M293" s="41">
        <v>98.0</v>
      </c>
      <c r="N293" s="30"/>
      <c r="O293" s="4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  <c r="AA293" s="30"/>
    </row>
    <row r="294" ht="18.75" customHeight="1">
      <c r="A294" s="31">
        <v>5057.0</v>
      </c>
      <c r="B294" s="32" t="s">
        <v>77</v>
      </c>
      <c r="C294" s="32" t="s">
        <v>78</v>
      </c>
      <c r="D294" s="32" t="s">
        <v>77</v>
      </c>
      <c r="E294" s="32" t="s">
        <v>79</v>
      </c>
      <c r="F294" s="33">
        <v>6.0</v>
      </c>
      <c r="G294" s="33">
        <v>26.0</v>
      </c>
      <c r="H294" s="34">
        <v>31149.0</v>
      </c>
      <c r="I294" s="31">
        <v>7.0</v>
      </c>
      <c r="J294" s="35" t="s">
        <v>75</v>
      </c>
      <c r="K294" s="35" t="s">
        <v>75</v>
      </c>
      <c r="L294" s="35" t="s">
        <v>76</v>
      </c>
      <c r="M294" s="41">
        <v>130.0</v>
      </c>
      <c r="N294" s="30"/>
      <c r="O294" s="4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  <c r="AA294" s="30"/>
    </row>
    <row r="295" ht="18.75" customHeight="1">
      <c r="A295" s="31">
        <v>2899.0</v>
      </c>
      <c r="B295" s="32" t="s">
        <v>253</v>
      </c>
      <c r="C295" s="32" t="s">
        <v>254</v>
      </c>
      <c r="D295" s="32" t="s">
        <v>254</v>
      </c>
      <c r="E295" s="32" t="s">
        <v>74</v>
      </c>
      <c r="F295" s="33">
        <v>4.0</v>
      </c>
      <c r="G295" s="33">
        <v>23.0</v>
      </c>
      <c r="H295" s="36">
        <v>25885.0</v>
      </c>
      <c r="I295" s="31">
        <v>6.0</v>
      </c>
      <c r="J295" s="35" t="s">
        <v>76</v>
      </c>
      <c r="K295" s="35" t="s">
        <v>76</v>
      </c>
      <c r="L295" s="35" t="s">
        <v>75</v>
      </c>
      <c r="M295" s="41">
        <v>192.0</v>
      </c>
      <c r="N295" s="30"/>
      <c r="O295" s="4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  <c r="AA295" s="30"/>
    </row>
    <row r="296" ht="18.75" customHeight="1">
      <c r="A296" s="31">
        <v>2551.0</v>
      </c>
      <c r="B296" s="32" t="s">
        <v>248</v>
      </c>
      <c r="C296" s="32" t="s">
        <v>102</v>
      </c>
      <c r="D296" s="32" t="s">
        <v>101</v>
      </c>
      <c r="E296" s="32" t="s">
        <v>88</v>
      </c>
      <c r="F296" s="33">
        <v>13.0</v>
      </c>
      <c r="G296" s="33">
        <v>20.0</v>
      </c>
      <c r="H296" s="34">
        <v>34817.0</v>
      </c>
      <c r="I296" s="31">
        <v>5.0</v>
      </c>
      <c r="J296" s="35" t="s">
        <v>76</v>
      </c>
      <c r="K296" s="35" t="s">
        <v>75</v>
      </c>
      <c r="L296" s="35" t="s">
        <v>76</v>
      </c>
      <c r="M296" s="41">
        <v>188.0</v>
      </c>
      <c r="N296" s="30"/>
      <c r="O296" s="4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  <c r="AA296" s="30"/>
    </row>
    <row r="297" ht="18.75" customHeight="1">
      <c r="A297" s="31">
        <v>2509.0</v>
      </c>
      <c r="B297" s="32" t="s">
        <v>352</v>
      </c>
      <c r="C297" s="32" t="s">
        <v>87</v>
      </c>
      <c r="D297" s="32" t="s">
        <v>86</v>
      </c>
      <c r="E297" s="32" t="s">
        <v>88</v>
      </c>
      <c r="F297" s="33">
        <v>8.0</v>
      </c>
      <c r="G297" s="33">
        <v>19.0</v>
      </c>
      <c r="H297" s="34">
        <v>33392.0</v>
      </c>
      <c r="I297" s="31">
        <v>6.0</v>
      </c>
      <c r="J297" s="35" t="s">
        <v>75</v>
      </c>
      <c r="K297" s="35" t="s">
        <v>76</v>
      </c>
      <c r="L297" s="35" t="s">
        <v>75</v>
      </c>
      <c r="M297" s="41">
        <v>276.0</v>
      </c>
      <c r="N297" s="30"/>
      <c r="O297" s="4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  <c r="AA297" s="30"/>
    </row>
    <row r="298" ht="18.75" customHeight="1">
      <c r="A298" s="31">
        <v>2845.0</v>
      </c>
      <c r="B298" s="32" t="s">
        <v>189</v>
      </c>
      <c r="C298" s="32" t="s">
        <v>190</v>
      </c>
      <c r="D298" s="32" t="s">
        <v>190</v>
      </c>
      <c r="E298" s="32" t="s">
        <v>91</v>
      </c>
      <c r="F298" s="33">
        <v>13.0</v>
      </c>
      <c r="G298" s="33">
        <v>18.0</v>
      </c>
      <c r="H298" s="34">
        <v>25279.0</v>
      </c>
      <c r="I298" s="31">
        <v>2.0</v>
      </c>
      <c r="J298" s="35" t="s">
        <v>75</v>
      </c>
      <c r="K298" s="35" t="s">
        <v>75</v>
      </c>
      <c r="L298" s="35" t="s">
        <v>76</v>
      </c>
      <c r="M298" s="41">
        <v>51.0</v>
      </c>
      <c r="N298" s="30"/>
      <c r="O298" s="4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  <c r="AA298" s="30"/>
    </row>
    <row r="299" ht="18.75" customHeight="1">
      <c r="A299" s="31">
        <v>2419.0</v>
      </c>
      <c r="B299" s="32" t="s">
        <v>242</v>
      </c>
      <c r="C299" s="32" t="s">
        <v>96</v>
      </c>
      <c r="D299" s="32" t="s">
        <v>96</v>
      </c>
      <c r="E299" s="32" t="s">
        <v>97</v>
      </c>
      <c r="F299" s="33">
        <v>14.0</v>
      </c>
      <c r="G299" s="33">
        <v>13.0</v>
      </c>
      <c r="H299" s="34">
        <v>20899.0</v>
      </c>
      <c r="I299" s="31">
        <v>4.0</v>
      </c>
      <c r="J299" s="35" t="s">
        <v>75</v>
      </c>
      <c r="K299" s="35" t="s">
        <v>76</v>
      </c>
      <c r="L299" s="35" t="s">
        <v>76</v>
      </c>
      <c r="M299" s="41">
        <v>182.0</v>
      </c>
      <c r="N299" s="30"/>
      <c r="O299" s="4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  <c r="AA299" s="30"/>
    </row>
    <row r="300" ht="18.75" customHeight="1">
      <c r="A300" s="31">
        <v>4932.0</v>
      </c>
      <c r="B300" s="32" t="s">
        <v>318</v>
      </c>
      <c r="C300" s="32" t="s">
        <v>81</v>
      </c>
      <c r="D300" s="32" t="s">
        <v>80</v>
      </c>
      <c r="E300" s="32" t="s">
        <v>82</v>
      </c>
      <c r="F300" s="33">
        <v>13.0</v>
      </c>
      <c r="G300" s="33">
        <v>12.0</v>
      </c>
      <c r="H300" s="34">
        <v>27620.0</v>
      </c>
      <c r="I300" s="31">
        <v>6.0</v>
      </c>
      <c r="J300" s="35" t="s">
        <v>76</v>
      </c>
      <c r="K300" s="35" t="s">
        <v>75</v>
      </c>
      <c r="L300" s="35" t="s">
        <v>76</v>
      </c>
      <c r="M300" s="41">
        <v>245.0</v>
      </c>
      <c r="N300" s="30"/>
      <c r="O300" s="4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  <c r="AA300" s="30"/>
    </row>
    <row r="301" ht="18.75" customHeight="1">
      <c r="A301" s="31">
        <v>4246.0</v>
      </c>
      <c r="B301" s="32" t="s">
        <v>348</v>
      </c>
      <c r="C301" s="32" t="s">
        <v>216</v>
      </c>
      <c r="D301" s="32" t="s">
        <v>216</v>
      </c>
      <c r="E301" s="32" t="s">
        <v>154</v>
      </c>
      <c r="F301" s="33">
        <v>6.0</v>
      </c>
      <c r="G301" s="33">
        <v>8.0</v>
      </c>
      <c r="H301" s="36">
        <v>24103.0</v>
      </c>
      <c r="I301" s="31">
        <v>7.0</v>
      </c>
      <c r="J301" s="35" t="s">
        <v>75</v>
      </c>
      <c r="K301" s="35" t="s">
        <v>76</v>
      </c>
      <c r="L301" s="35" t="s">
        <v>75</v>
      </c>
      <c r="M301" s="41">
        <v>272.0</v>
      </c>
      <c r="N301" s="30"/>
      <c r="O301" s="4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  <c r="AA301" s="30"/>
    </row>
    <row r="302" ht="18.75" customHeight="1">
      <c r="A302" s="37"/>
      <c r="B302" s="30"/>
      <c r="C302" s="30"/>
      <c r="D302" s="1"/>
      <c r="E302" s="30"/>
      <c r="F302" s="37"/>
      <c r="G302" s="37"/>
      <c r="H302" s="45"/>
      <c r="I302" s="37"/>
      <c r="J302" s="30"/>
      <c r="K302" s="30"/>
      <c r="L302" s="30"/>
      <c r="M302" s="37"/>
      <c r="N302" s="30"/>
      <c r="O302" s="4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  <c r="AA302" s="30"/>
    </row>
    <row r="303" ht="18.75" customHeight="1">
      <c r="A303" s="37"/>
      <c r="B303" s="30"/>
      <c r="C303" s="30"/>
      <c r="D303" s="1"/>
      <c r="E303" s="30"/>
      <c r="F303" s="37"/>
      <c r="G303" s="37"/>
      <c r="H303" s="45"/>
      <c r="I303" s="37"/>
      <c r="J303" s="30"/>
      <c r="K303" s="30"/>
      <c r="L303" s="30"/>
      <c r="M303" s="37"/>
      <c r="N303" s="30"/>
      <c r="O303" s="4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  <c r="AA303" s="30"/>
    </row>
    <row r="304" ht="18.75" customHeight="1">
      <c r="A304" s="37"/>
      <c r="B304" s="30"/>
      <c r="C304" s="30"/>
      <c r="D304" s="1"/>
      <c r="E304" s="30"/>
      <c r="F304" s="37"/>
      <c r="G304" s="37"/>
      <c r="H304" s="45"/>
      <c r="I304" s="37"/>
      <c r="J304" s="30"/>
      <c r="K304" s="30"/>
      <c r="L304" s="30"/>
      <c r="M304" s="37"/>
      <c r="N304" s="30"/>
      <c r="O304" s="4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  <c r="AA304" s="30"/>
    </row>
    <row r="305" ht="18.75" customHeight="1">
      <c r="A305" s="37"/>
      <c r="B305" s="30"/>
      <c r="C305" s="30"/>
      <c r="D305" s="1"/>
      <c r="E305" s="30"/>
      <c r="F305" s="37"/>
      <c r="G305" s="37"/>
      <c r="H305" s="45"/>
      <c r="I305" s="37"/>
      <c r="J305" s="30"/>
      <c r="K305" s="30"/>
      <c r="L305" s="30"/>
      <c r="M305" s="37"/>
      <c r="N305" s="30"/>
      <c r="O305" s="4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  <c r="AA305" s="30"/>
    </row>
    <row r="306" ht="18.75" customHeight="1">
      <c r="A306" s="37"/>
      <c r="B306" s="30"/>
      <c r="C306" s="30"/>
      <c r="D306" s="1"/>
      <c r="E306" s="30"/>
      <c r="F306" s="37"/>
      <c r="G306" s="37"/>
      <c r="H306" s="45"/>
      <c r="I306" s="37"/>
      <c r="J306" s="30"/>
      <c r="K306" s="30"/>
      <c r="L306" s="30"/>
      <c r="M306" s="37"/>
      <c r="N306" s="30"/>
      <c r="O306" s="4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  <c r="AA306" s="30"/>
    </row>
    <row r="307" ht="18.75" customHeight="1">
      <c r="A307" s="37"/>
      <c r="B307" s="30"/>
      <c r="C307" s="30"/>
      <c r="D307" s="1"/>
      <c r="E307" s="30"/>
      <c r="F307" s="37"/>
      <c r="G307" s="37"/>
      <c r="H307" s="45"/>
      <c r="I307" s="37"/>
      <c r="J307" s="30"/>
      <c r="K307" s="30"/>
      <c r="L307" s="30"/>
      <c r="M307" s="37"/>
      <c r="N307" s="30"/>
      <c r="O307" s="4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  <c r="AA307" s="30"/>
    </row>
    <row r="308" ht="18.75" customHeight="1">
      <c r="A308" s="37"/>
      <c r="B308" s="30"/>
      <c r="C308" s="30"/>
      <c r="D308" s="1"/>
      <c r="E308" s="30"/>
      <c r="F308" s="37"/>
      <c r="G308" s="37"/>
      <c r="H308" s="45"/>
      <c r="I308" s="37"/>
      <c r="J308" s="30"/>
      <c r="K308" s="30"/>
      <c r="L308" s="30"/>
      <c r="M308" s="37"/>
      <c r="N308" s="30"/>
      <c r="O308" s="4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  <c r="AA308" s="30"/>
    </row>
    <row r="309" ht="18.75" customHeight="1">
      <c r="A309" s="37"/>
      <c r="B309" s="30"/>
      <c r="C309" s="30"/>
      <c r="D309" s="1"/>
      <c r="E309" s="30"/>
      <c r="F309" s="37"/>
      <c r="G309" s="37"/>
      <c r="H309" s="45"/>
      <c r="I309" s="37"/>
      <c r="J309" s="30"/>
      <c r="K309" s="30"/>
      <c r="L309" s="30"/>
      <c r="M309" s="37"/>
      <c r="N309" s="30"/>
      <c r="O309" s="4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  <c r="AA309" s="30"/>
    </row>
    <row r="310" ht="18.75" customHeight="1">
      <c r="A310" s="37"/>
      <c r="B310" s="30"/>
      <c r="C310" s="30"/>
      <c r="D310" s="1"/>
      <c r="E310" s="30"/>
      <c r="F310" s="37"/>
      <c r="G310" s="37"/>
      <c r="H310" s="45"/>
      <c r="I310" s="37"/>
      <c r="J310" s="30"/>
      <c r="K310" s="30"/>
      <c r="L310" s="30"/>
      <c r="M310" s="37"/>
      <c r="N310" s="30"/>
      <c r="O310" s="4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  <c r="AA310" s="30"/>
    </row>
    <row r="311" ht="18.75" customHeight="1">
      <c r="A311" s="37"/>
      <c r="B311" s="30"/>
      <c r="C311" s="30"/>
      <c r="D311" s="1"/>
      <c r="E311" s="30"/>
      <c r="F311" s="37"/>
      <c r="G311" s="37"/>
      <c r="H311" s="45"/>
      <c r="I311" s="37"/>
      <c r="J311" s="30"/>
      <c r="K311" s="30"/>
      <c r="L311" s="30"/>
      <c r="M311" s="37"/>
      <c r="N311" s="30"/>
      <c r="O311" s="4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  <c r="AA311" s="30"/>
    </row>
    <row r="312" ht="18.75" customHeight="1">
      <c r="A312" s="37"/>
      <c r="B312" s="30"/>
      <c r="C312" s="30"/>
      <c r="D312" s="1"/>
      <c r="E312" s="30"/>
      <c r="F312" s="37"/>
      <c r="G312" s="37"/>
      <c r="H312" s="45"/>
      <c r="I312" s="37"/>
      <c r="J312" s="30"/>
      <c r="K312" s="30"/>
      <c r="L312" s="30"/>
      <c r="M312" s="37"/>
      <c r="N312" s="30"/>
      <c r="O312" s="4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  <c r="AA312" s="30"/>
    </row>
    <row r="313" ht="18.75" customHeight="1">
      <c r="A313" s="37"/>
      <c r="B313" s="30"/>
      <c r="C313" s="30"/>
      <c r="D313" s="1"/>
      <c r="E313" s="30"/>
      <c r="F313" s="37"/>
      <c r="G313" s="37"/>
      <c r="H313" s="45"/>
      <c r="I313" s="37"/>
      <c r="J313" s="30"/>
      <c r="K313" s="30"/>
      <c r="L313" s="30"/>
      <c r="M313" s="37"/>
      <c r="N313" s="30"/>
      <c r="O313" s="4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  <c r="AA313" s="30"/>
    </row>
    <row r="314" ht="18.75" customHeight="1">
      <c r="A314" s="37"/>
      <c r="B314" s="30"/>
      <c r="C314" s="30"/>
      <c r="D314" s="1"/>
      <c r="E314" s="30"/>
      <c r="F314" s="37"/>
      <c r="G314" s="37"/>
      <c r="H314" s="45"/>
      <c r="I314" s="37"/>
      <c r="J314" s="30"/>
      <c r="K314" s="30"/>
      <c r="L314" s="30"/>
      <c r="M314" s="37"/>
      <c r="N314" s="30"/>
      <c r="O314" s="4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  <c r="AA314" s="30"/>
    </row>
    <row r="315" ht="18.75" customHeight="1">
      <c r="A315" s="37"/>
      <c r="B315" s="30"/>
      <c r="C315" s="30"/>
      <c r="D315" s="1"/>
      <c r="E315" s="30"/>
      <c r="F315" s="37"/>
      <c r="G315" s="37"/>
      <c r="H315" s="45"/>
      <c r="I315" s="37"/>
      <c r="J315" s="30"/>
      <c r="K315" s="30"/>
      <c r="L315" s="30"/>
      <c r="M315" s="37"/>
      <c r="N315" s="30"/>
      <c r="O315" s="4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  <c r="AA315" s="30"/>
    </row>
    <row r="316" ht="18.75" customHeight="1">
      <c r="A316" s="37"/>
      <c r="B316" s="30"/>
      <c r="C316" s="30"/>
      <c r="D316" s="1"/>
      <c r="E316" s="30"/>
      <c r="F316" s="37"/>
      <c r="G316" s="37"/>
      <c r="H316" s="45"/>
      <c r="I316" s="37"/>
      <c r="J316" s="30"/>
      <c r="K316" s="30"/>
      <c r="L316" s="30"/>
      <c r="M316" s="37"/>
      <c r="N316" s="30"/>
      <c r="O316" s="4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  <c r="AA316" s="30"/>
    </row>
    <row r="317" ht="18.75" customHeight="1">
      <c r="A317" s="37"/>
      <c r="B317" s="30"/>
      <c r="C317" s="30"/>
      <c r="D317" s="1"/>
      <c r="E317" s="30"/>
      <c r="F317" s="37"/>
      <c r="G317" s="37"/>
      <c r="H317" s="45"/>
      <c r="I317" s="37"/>
      <c r="J317" s="30"/>
      <c r="K317" s="30"/>
      <c r="L317" s="30"/>
      <c r="M317" s="37"/>
      <c r="N317" s="30"/>
      <c r="O317" s="4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  <c r="AA317" s="30"/>
    </row>
    <row r="318" ht="18.75" customHeight="1">
      <c r="A318" s="37"/>
      <c r="B318" s="30"/>
      <c r="C318" s="30"/>
      <c r="D318" s="1"/>
      <c r="E318" s="30"/>
      <c r="F318" s="37"/>
      <c r="G318" s="37"/>
      <c r="H318" s="45"/>
      <c r="I318" s="37"/>
      <c r="J318" s="30"/>
      <c r="K318" s="30"/>
      <c r="L318" s="30"/>
      <c r="M318" s="37"/>
      <c r="N318" s="30"/>
      <c r="O318" s="4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  <c r="AA318" s="30"/>
    </row>
    <row r="319" ht="18.75" customHeight="1">
      <c r="A319" s="37"/>
      <c r="B319" s="30"/>
      <c r="C319" s="30"/>
      <c r="D319" s="1"/>
      <c r="E319" s="30"/>
      <c r="F319" s="37"/>
      <c r="G319" s="37"/>
      <c r="H319" s="45"/>
      <c r="I319" s="37"/>
      <c r="J319" s="30"/>
      <c r="K319" s="30"/>
      <c r="L319" s="30"/>
      <c r="M319" s="37"/>
      <c r="N319" s="30"/>
      <c r="O319" s="4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  <c r="AA319" s="30"/>
    </row>
    <row r="320" ht="18.75" customHeight="1">
      <c r="A320" s="37"/>
      <c r="B320" s="30"/>
      <c r="C320" s="30"/>
      <c r="D320" s="1"/>
      <c r="E320" s="30"/>
      <c r="F320" s="37"/>
      <c r="G320" s="37"/>
      <c r="H320" s="45"/>
      <c r="I320" s="37"/>
      <c r="J320" s="30"/>
      <c r="K320" s="30"/>
      <c r="L320" s="30"/>
      <c r="M320" s="37"/>
      <c r="N320" s="30"/>
      <c r="O320" s="4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  <c r="AA320" s="30"/>
    </row>
    <row r="321" ht="18.75" customHeight="1">
      <c r="A321" s="37"/>
      <c r="B321" s="30"/>
      <c r="C321" s="30"/>
      <c r="D321" s="1"/>
      <c r="E321" s="30"/>
      <c r="F321" s="37"/>
      <c r="G321" s="37"/>
      <c r="H321" s="45"/>
      <c r="I321" s="37"/>
      <c r="J321" s="30"/>
      <c r="K321" s="30"/>
      <c r="L321" s="30"/>
      <c r="M321" s="37"/>
      <c r="N321" s="30"/>
      <c r="O321" s="4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  <c r="AA321" s="30"/>
    </row>
    <row r="322" ht="18.75" customHeight="1">
      <c r="A322" s="37"/>
      <c r="B322" s="30"/>
      <c r="C322" s="30"/>
      <c r="D322" s="1"/>
      <c r="E322" s="30"/>
      <c r="F322" s="37"/>
      <c r="G322" s="37"/>
      <c r="H322" s="45"/>
      <c r="I322" s="37"/>
      <c r="J322" s="30"/>
      <c r="K322" s="30"/>
      <c r="L322" s="30"/>
      <c r="M322" s="37"/>
      <c r="N322" s="30"/>
      <c r="O322" s="4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  <c r="AA322" s="30"/>
    </row>
    <row r="323" ht="18.75" customHeight="1">
      <c r="A323" s="37"/>
      <c r="B323" s="30"/>
      <c r="C323" s="30"/>
      <c r="D323" s="1"/>
      <c r="E323" s="30"/>
      <c r="F323" s="37"/>
      <c r="G323" s="37"/>
      <c r="H323" s="45"/>
      <c r="I323" s="37"/>
      <c r="J323" s="30"/>
      <c r="K323" s="30"/>
      <c r="L323" s="30"/>
      <c r="M323" s="37"/>
      <c r="N323" s="30"/>
      <c r="O323" s="4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  <c r="AA323" s="30"/>
    </row>
    <row r="324" ht="18.75" customHeight="1">
      <c r="A324" s="37"/>
      <c r="B324" s="30"/>
      <c r="C324" s="30"/>
      <c r="D324" s="1"/>
      <c r="E324" s="30"/>
      <c r="F324" s="37"/>
      <c r="G324" s="37"/>
      <c r="H324" s="45"/>
      <c r="I324" s="37"/>
      <c r="J324" s="30"/>
      <c r="K324" s="30"/>
      <c r="L324" s="30"/>
      <c r="M324" s="37"/>
      <c r="N324" s="30"/>
      <c r="O324" s="4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  <c r="AA324" s="30"/>
    </row>
    <row r="325" ht="18.75" customHeight="1">
      <c r="A325" s="37"/>
      <c r="B325" s="30"/>
      <c r="C325" s="30"/>
      <c r="D325" s="1"/>
      <c r="E325" s="30"/>
      <c r="F325" s="37"/>
      <c r="G325" s="37"/>
      <c r="H325" s="45"/>
      <c r="I325" s="37"/>
      <c r="J325" s="30"/>
      <c r="K325" s="30"/>
      <c r="L325" s="30"/>
      <c r="M325" s="37"/>
      <c r="N325" s="30"/>
      <c r="O325" s="4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  <c r="AA325" s="30"/>
    </row>
    <row r="326" ht="18.75" customHeight="1">
      <c r="A326" s="37"/>
      <c r="B326" s="30"/>
      <c r="C326" s="30"/>
      <c r="D326" s="1"/>
      <c r="E326" s="30"/>
      <c r="F326" s="37"/>
      <c r="G326" s="37"/>
      <c r="H326" s="45"/>
      <c r="I326" s="37"/>
      <c r="J326" s="30"/>
      <c r="K326" s="30"/>
      <c r="L326" s="30"/>
      <c r="M326" s="37"/>
      <c r="N326" s="30"/>
      <c r="O326" s="4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  <c r="AA326" s="30"/>
    </row>
    <row r="327" ht="18.75" customHeight="1">
      <c r="A327" s="37"/>
      <c r="B327" s="30"/>
      <c r="C327" s="30"/>
      <c r="D327" s="1"/>
      <c r="E327" s="30"/>
      <c r="F327" s="37"/>
      <c r="G327" s="37"/>
      <c r="H327" s="45"/>
      <c r="I327" s="37"/>
      <c r="J327" s="30"/>
      <c r="K327" s="30"/>
      <c r="L327" s="30"/>
      <c r="M327" s="37"/>
      <c r="N327" s="30"/>
      <c r="O327" s="4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  <c r="AA327" s="30"/>
    </row>
    <row r="328" ht="18.75" customHeight="1">
      <c r="A328" s="37"/>
      <c r="B328" s="30"/>
      <c r="C328" s="30"/>
      <c r="D328" s="1"/>
      <c r="E328" s="30"/>
      <c r="F328" s="37"/>
      <c r="G328" s="37"/>
      <c r="H328" s="45"/>
      <c r="I328" s="37"/>
      <c r="J328" s="30"/>
      <c r="K328" s="30"/>
      <c r="L328" s="30"/>
      <c r="M328" s="37"/>
      <c r="N328" s="30"/>
      <c r="O328" s="4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  <c r="AA328" s="30"/>
    </row>
    <row r="329" ht="18.75" customHeight="1">
      <c r="A329" s="37"/>
      <c r="B329" s="30"/>
      <c r="C329" s="30"/>
      <c r="D329" s="1"/>
      <c r="E329" s="30"/>
      <c r="F329" s="37"/>
      <c r="G329" s="37"/>
      <c r="H329" s="45"/>
      <c r="I329" s="37"/>
      <c r="J329" s="30"/>
      <c r="K329" s="30"/>
      <c r="L329" s="30"/>
      <c r="M329" s="37"/>
      <c r="N329" s="30"/>
      <c r="O329" s="4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  <c r="AA329" s="30"/>
    </row>
    <row r="330" ht="18.75" customHeight="1">
      <c r="A330" s="37"/>
      <c r="B330" s="30"/>
      <c r="C330" s="30"/>
      <c r="D330" s="1"/>
      <c r="E330" s="30"/>
      <c r="F330" s="37"/>
      <c r="G330" s="37"/>
      <c r="H330" s="45"/>
      <c r="I330" s="37"/>
      <c r="J330" s="30"/>
      <c r="K330" s="30"/>
      <c r="L330" s="30"/>
      <c r="M330" s="37"/>
      <c r="N330" s="30"/>
      <c r="O330" s="4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  <c r="AA330" s="30"/>
    </row>
    <row r="331" ht="18.75" customHeight="1">
      <c r="A331" s="37"/>
      <c r="B331" s="30"/>
      <c r="C331" s="30"/>
      <c r="D331" s="1"/>
      <c r="E331" s="30"/>
      <c r="F331" s="37"/>
      <c r="G331" s="37"/>
      <c r="H331" s="45"/>
      <c r="I331" s="37"/>
      <c r="J331" s="30"/>
      <c r="K331" s="30"/>
      <c r="L331" s="30"/>
      <c r="M331" s="37"/>
      <c r="N331" s="30"/>
      <c r="O331" s="4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  <c r="AA331" s="30"/>
    </row>
    <row r="332" ht="18.75" customHeight="1">
      <c r="A332" s="37"/>
      <c r="B332" s="30"/>
      <c r="C332" s="30"/>
      <c r="D332" s="1"/>
      <c r="E332" s="30"/>
      <c r="F332" s="37"/>
      <c r="G332" s="37"/>
      <c r="H332" s="45"/>
      <c r="I332" s="37"/>
      <c r="J332" s="30"/>
      <c r="K332" s="30"/>
      <c r="L332" s="30"/>
      <c r="M332" s="37"/>
      <c r="N332" s="30"/>
      <c r="O332" s="4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  <c r="AA332" s="30"/>
    </row>
    <row r="333" ht="18.75" customHeight="1">
      <c r="A333" s="37"/>
      <c r="B333" s="30"/>
      <c r="C333" s="30"/>
      <c r="D333" s="1"/>
      <c r="E333" s="30"/>
      <c r="F333" s="37"/>
      <c r="G333" s="37"/>
      <c r="H333" s="45"/>
      <c r="I333" s="37"/>
      <c r="J333" s="30"/>
      <c r="K333" s="30"/>
      <c r="L333" s="30"/>
      <c r="M333" s="37"/>
      <c r="N333" s="30"/>
      <c r="O333" s="4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  <c r="AA333" s="30"/>
    </row>
    <row r="334" ht="18.75" customHeight="1">
      <c r="A334" s="37"/>
      <c r="B334" s="30"/>
      <c r="C334" s="30"/>
      <c r="D334" s="1"/>
      <c r="E334" s="30"/>
      <c r="F334" s="37"/>
      <c r="G334" s="37"/>
      <c r="H334" s="45"/>
      <c r="I334" s="37"/>
      <c r="J334" s="30"/>
      <c r="K334" s="30"/>
      <c r="L334" s="30"/>
      <c r="M334" s="37"/>
      <c r="N334" s="30"/>
      <c r="O334" s="4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  <c r="AA334" s="30"/>
    </row>
    <row r="335" ht="18.75" customHeight="1">
      <c r="A335" s="37"/>
      <c r="B335" s="30"/>
      <c r="C335" s="30"/>
      <c r="D335" s="1"/>
      <c r="E335" s="30"/>
      <c r="F335" s="37"/>
      <c r="G335" s="37"/>
      <c r="H335" s="45"/>
      <c r="I335" s="37"/>
      <c r="J335" s="30"/>
      <c r="K335" s="30"/>
      <c r="L335" s="30"/>
      <c r="M335" s="37"/>
      <c r="N335" s="30"/>
      <c r="O335" s="4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  <c r="AA335" s="30"/>
    </row>
    <row r="336" ht="18.75" customHeight="1">
      <c r="A336" s="37"/>
      <c r="B336" s="30"/>
      <c r="C336" s="30"/>
      <c r="D336" s="1"/>
      <c r="E336" s="30"/>
      <c r="F336" s="37"/>
      <c r="G336" s="37"/>
      <c r="H336" s="45"/>
      <c r="I336" s="37"/>
      <c r="J336" s="30"/>
      <c r="K336" s="30"/>
      <c r="L336" s="30"/>
      <c r="M336" s="37"/>
      <c r="N336" s="30"/>
      <c r="O336" s="4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  <c r="AA336" s="30"/>
    </row>
    <row r="337" ht="18.75" customHeight="1">
      <c r="A337" s="37"/>
      <c r="B337" s="30"/>
      <c r="C337" s="30"/>
      <c r="D337" s="1"/>
      <c r="E337" s="30"/>
      <c r="F337" s="37"/>
      <c r="G337" s="37"/>
      <c r="H337" s="45"/>
      <c r="I337" s="37"/>
      <c r="J337" s="30"/>
      <c r="K337" s="30"/>
      <c r="L337" s="30"/>
      <c r="M337" s="37"/>
      <c r="N337" s="30"/>
      <c r="O337" s="4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  <c r="AA337" s="30"/>
    </row>
    <row r="338" ht="18.75" customHeight="1">
      <c r="A338" s="37"/>
      <c r="B338" s="30"/>
      <c r="C338" s="30"/>
      <c r="D338" s="1"/>
      <c r="E338" s="30"/>
      <c r="F338" s="37"/>
      <c r="G338" s="37"/>
      <c r="H338" s="45"/>
      <c r="I338" s="37"/>
      <c r="J338" s="30"/>
      <c r="K338" s="30"/>
      <c r="L338" s="30"/>
      <c r="M338" s="37"/>
      <c r="N338" s="30"/>
      <c r="O338" s="4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  <c r="AA338" s="30"/>
    </row>
    <row r="339" ht="18.75" customHeight="1">
      <c r="A339" s="37"/>
      <c r="B339" s="30"/>
      <c r="C339" s="30"/>
      <c r="D339" s="1"/>
      <c r="E339" s="30"/>
      <c r="F339" s="37"/>
      <c r="G339" s="37"/>
      <c r="H339" s="45"/>
      <c r="I339" s="37"/>
      <c r="J339" s="30"/>
      <c r="K339" s="30"/>
      <c r="L339" s="30"/>
      <c r="M339" s="37"/>
      <c r="N339" s="30"/>
      <c r="O339" s="4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  <c r="AA339" s="30"/>
    </row>
    <row r="340" ht="18.75" customHeight="1">
      <c r="A340" s="37"/>
      <c r="B340" s="30"/>
      <c r="C340" s="30"/>
      <c r="D340" s="1"/>
      <c r="E340" s="30"/>
      <c r="F340" s="37"/>
      <c r="G340" s="37"/>
      <c r="H340" s="45"/>
      <c r="I340" s="37"/>
      <c r="J340" s="30"/>
      <c r="K340" s="30"/>
      <c r="L340" s="30"/>
      <c r="M340" s="37"/>
      <c r="N340" s="30"/>
      <c r="O340" s="4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  <c r="AA340" s="30"/>
    </row>
    <row r="341" ht="18.75" customHeight="1">
      <c r="A341" s="37"/>
      <c r="B341" s="30"/>
      <c r="C341" s="30"/>
      <c r="D341" s="1"/>
      <c r="E341" s="30"/>
      <c r="F341" s="37"/>
      <c r="G341" s="37"/>
      <c r="H341" s="45"/>
      <c r="I341" s="37"/>
      <c r="J341" s="30"/>
      <c r="K341" s="30"/>
      <c r="L341" s="30"/>
      <c r="M341" s="37"/>
      <c r="N341" s="30"/>
      <c r="O341" s="4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  <c r="AA341" s="30"/>
    </row>
    <row r="342" ht="18.75" customHeight="1">
      <c r="A342" s="37"/>
      <c r="B342" s="30"/>
      <c r="C342" s="30"/>
      <c r="D342" s="1"/>
      <c r="E342" s="30"/>
      <c r="F342" s="37"/>
      <c r="G342" s="37"/>
      <c r="H342" s="45"/>
      <c r="I342" s="37"/>
      <c r="J342" s="30"/>
      <c r="K342" s="30"/>
      <c r="L342" s="30"/>
      <c r="M342" s="37"/>
      <c r="N342" s="30"/>
      <c r="O342" s="4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  <c r="AA342" s="30"/>
    </row>
    <row r="343" ht="18.75" customHeight="1">
      <c r="A343" s="37"/>
      <c r="B343" s="30"/>
      <c r="C343" s="30"/>
      <c r="D343" s="1"/>
      <c r="E343" s="30"/>
      <c r="F343" s="37"/>
      <c r="G343" s="37"/>
      <c r="H343" s="45"/>
      <c r="I343" s="37"/>
      <c r="J343" s="30"/>
      <c r="K343" s="30"/>
      <c r="L343" s="30"/>
      <c r="M343" s="37"/>
      <c r="N343" s="30"/>
      <c r="O343" s="4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  <c r="AA343" s="30"/>
    </row>
    <row r="344" ht="18.75" customHeight="1">
      <c r="A344" s="37"/>
      <c r="B344" s="30"/>
      <c r="C344" s="30"/>
      <c r="D344" s="1"/>
      <c r="E344" s="30"/>
      <c r="F344" s="37"/>
      <c r="G344" s="37"/>
      <c r="H344" s="45"/>
      <c r="I344" s="37"/>
      <c r="J344" s="30"/>
      <c r="K344" s="30"/>
      <c r="L344" s="30"/>
      <c r="M344" s="37"/>
      <c r="N344" s="30"/>
      <c r="O344" s="4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  <c r="AA344" s="30"/>
    </row>
    <row r="345" ht="18.75" customHeight="1">
      <c r="A345" s="37"/>
      <c r="B345" s="30"/>
      <c r="C345" s="30"/>
      <c r="D345" s="1"/>
      <c r="E345" s="30"/>
      <c r="F345" s="37"/>
      <c r="G345" s="37"/>
      <c r="H345" s="45"/>
      <c r="I345" s="37"/>
      <c r="J345" s="30"/>
      <c r="K345" s="30"/>
      <c r="L345" s="30"/>
      <c r="M345" s="37"/>
      <c r="N345" s="30"/>
      <c r="O345" s="4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  <c r="AA345" s="30"/>
    </row>
    <row r="346" ht="18.75" customHeight="1">
      <c r="A346" s="37"/>
      <c r="B346" s="30"/>
      <c r="C346" s="30"/>
      <c r="D346" s="1"/>
      <c r="E346" s="30"/>
      <c r="F346" s="37"/>
      <c r="G346" s="37"/>
      <c r="H346" s="45"/>
      <c r="I346" s="37"/>
      <c r="J346" s="30"/>
      <c r="K346" s="30"/>
      <c r="L346" s="30"/>
      <c r="M346" s="37"/>
      <c r="N346" s="30"/>
      <c r="O346" s="4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  <c r="AA346" s="30"/>
    </row>
    <row r="347" ht="18.75" customHeight="1">
      <c r="A347" s="37"/>
      <c r="B347" s="30"/>
      <c r="C347" s="30"/>
      <c r="D347" s="1"/>
      <c r="E347" s="30"/>
      <c r="F347" s="37"/>
      <c r="G347" s="37"/>
      <c r="H347" s="45"/>
      <c r="I347" s="37"/>
      <c r="J347" s="30"/>
      <c r="K347" s="30"/>
      <c r="L347" s="30"/>
      <c r="M347" s="37"/>
      <c r="N347" s="30"/>
      <c r="O347" s="4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  <c r="AA347" s="30"/>
    </row>
    <row r="348" ht="18.75" customHeight="1">
      <c r="A348" s="37"/>
      <c r="B348" s="30"/>
      <c r="C348" s="30"/>
      <c r="D348" s="1"/>
      <c r="E348" s="30"/>
      <c r="F348" s="37"/>
      <c r="G348" s="37"/>
      <c r="H348" s="45"/>
      <c r="I348" s="37"/>
      <c r="J348" s="30"/>
      <c r="K348" s="30"/>
      <c r="L348" s="30"/>
      <c r="M348" s="37"/>
      <c r="N348" s="30"/>
      <c r="O348" s="4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  <c r="AA348" s="30"/>
    </row>
    <row r="349" ht="18.75" customHeight="1">
      <c r="A349" s="37"/>
      <c r="B349" s="30"/>
      <c r="C349" s="30"/>
      <c r="D349" s="1"/>
      <c r="E349" s="30"/>
      <c r="F349" s="37"/>
      <c r="G349" s="37"/>
      <c r="H349" s="45"/>
      <c r="I349" s="37"/>
      <c r="J349" s="30"/>
      <c r="K349" s="30"/>
      <c r="L349" s="30"/>
      <c r="M349" s="37"/>
      <c r="N349" s="30"/>
      <c r="O349" s="4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  <c r="AA349" s="30"/>
    </row>
    <row r="350" ht="18.75" customHeight="1">
      <c r="A350" s="37"/>
      <c r="B350" s="30"/>
      <c r="C350" s="30"/>
      <c r="D350" s="1"/>
      <c r="E350" s="30"/>
      <c r="F350" s="37"/>
      <c r="G350" s="37"/>
      <c r="H350" s="45"/>
      <c r="I350" s="37"/>
      <c r="J350" s="30"/>
      <c r="K350" s="30"/>
      <c r="L350" s="30"/>
      <c r="M350" s="37"/>
      <c r="N350" s="30"/>
      <c r="O350" s="4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  <c r="AA350" s="30"/>
    </row>
    <row r="351" ht="18.75" customHeight="1">
      <c r="A351" s="37"/>
      <c r="B351" s="30"/>
      <c r="C351" s="30"/>
      <c r="D351" s="1"/>
      <c r="E351" s="30"/>
      <c r="F351" s="37"/>
      <c r="G351" s="37"/>
      <c r="H351" s="45"/>
      <c r="I351" s="37"/>
      <c r="J351" s="30"/>
      <c r="K351" s="30"/>
      <c r="L351" s="30"/>
      <c r="M351" s="37"/>
      <c r="N351" s="30"/>
      <c r="O351" s="4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  <c r="AA351" s="30"/>
    </row>
    <row r="352" ht="18.75" customHeight="1">
      <c r="A352" s="37"/>
      <c r="B352" s="30"/>
      <c r="C352" s="30"/>
      <c r="D352" s="1"/>
      <c r="E352" s="30"/>
      <c r="F352" s="37"/>
      <c r="G352" s="37"/>
      <c r="H352" s="45"/>
      <c r="I352" s="37"/>
      <c r="J352" s="30"/>
      <c r="K352" s="30"/>
      <c r="L352" s="30"/>
      <c r="M352" s="37"/>
      <c r="N352" s="30"/>
      <c r="O352" s="4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  <c r="AA352" s="30"/>
    </row>
    <row r="353" ht="18.75" customHeight="1">
      <c r="A353" s="37"/>
      <c r="B353" s="30"/>
      <c r="C353" s="30"/>
      <c r="D353" s="1"/>
      <c r="E353" s="30"/>
      <c r="F353" s="37"/>
      <c r="G353" s="37"/>
      <c r="H353" s="45"/>
      <c r="I353" s="37"/>
      <c r="J353" s="30"/>
      <c r="K353" s="30"/>
      <c r="L353" s="30"/>
      <c r="M353" s="37"/>
      <c r="N353" s="30"/>
      <c r="O353" s="4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  <c r="AA353" s="30"/>
    </row>
    <row r="354" ht="18.75" customHeight="1">
      <c r="A354" s="37"/>
      <c r="B354" s="30"/>
      <c r="C354" s="30"/>
      <c r="D354" s="1"/>
      <c r="E354" s="30"/>
      <c r="F354" s="37"/>
      <c r="G354" s="37"/>
      <c r="H354" s="45"/>
      <c r="I354" s="37"/>
      <c r="J354" s="30"/>
      <c r="K354" s="30"/>
      <c r="L354" s="30"/>
      <c r="M354" s="37"/>
      <c r="N354" s="30"/>
      <c r="O354" s="4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  <c r="AA354" s="30"/>
    </row>
    <row r="355" ht="18.75" customHeight="1">
      <c r="A355" s="37"/>
      <c r="B355" s="30"/>
      <c r="C355" s="30"/>
      <c r="D355" s="1"/>
      <c r="E355" s="30"/>
      <c r="F355" s="37"/>
      <c r="G355" s="37"/>
      <c r="H355" s="45"/>
      <c r="I355" s="37"/>
      <c r="J355" s="30"/>
      <c r="K355" s="30"/>
      <c r="L355" s="30"/>
      <c r="M355" s="37"/>
      <c r="N355" s="30"/>
      <c r="O355" s="4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  <c r="AA355" s="30"/>
    </row>
    <row r="356" ht="18.75" customHeight="1">
      <c r="A356" s="37"/>
      <c r="B356" s="30"/>
      <c r="C356" s="30"/>
      <c r="D356" s="1"/>
      <c r="E356" s="30"/>
      <c r="F356" s="37"/>
      <c r="G356" s="37"/>
      <c r="H356" s="45"/>
      <c r="I356" s="37"/>
      <c r="J356" s="30"/>
      <c r="K356" s="30"/>
      <c r="L356" s="30"/>
      <c r="M356" s="37"/>
      <c r="N356" s="30"/>
      <c r="O356" s="4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  <c r="AA356" s="30"/>
    </row>
    <row r="357" ht="18.75" customHeight="1">
      <c r="A357" s="37"/>
      <c r="B357" s="30"/>
      <c r="C357" s="30"/>
      <c r="D357" s="1"/>
      <c r="E357" s="30"/>
      <c r="F357" s="37"/>
      <c r="G357" s="37"/>
      <c r="H357" s="45"/>
      <c r="I357" s="37"/>
      <c r="J357" s="30"/>
      <c r="K357" s="30"/>
      <c r="L357" s="30"/>
      <c r="M357" s="37"/>
      <c r="N357" s="30"/>
      <c r="O357" s="4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  <c r="AA357" s="30"/>
    </row>
    <row r="358" ht="18.75" customHeight="1">
      <c r="A358" s="37"/>
      <c r="B358" s="30"/>
      <c r="C358" s="30"/>
      <c r="D358" s="1"/>
      <c r="E358" s="30"/>
      <c r="F358" s="37"/>
      <c r="G358" s="37"/>
      <c r="H358" s="45"/>
      <c r="I358" s="37"/>
      <c r="J358" s="30"/>
      <c r="K358" s="30"/>
      <c r="L358" s="30"/>
      <c r="M358" s="37"/>
      <c r="N358" s="30"/>
      <c r="O358" s="4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  <c r="AA358" s="30"/>
    </row>
    <row r="359" ht="18.75" customHeight="1">
      <c r="A359" s="37"/>
      <c r="B359" s="30"/>
      <c r="C359" s="30"/>
      <c r="D359" s="1"/>
      <c r="E359" s="30"/>
      <c r="F359" s="37"/>
      <c r="G359" s="37"/>
      <c r="H359" s="45"/>
      <c r="I359" s="37"/>
      <c r="J359" s="30"/>
      <c r="K359" s="30"/>
      <c r="L359" s="30"/>
      <c r="M359" s="37"/>
      <c r="N359" s="30"/>
      <c r="O359" s="4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  <c r="AA359" s="30"/>
    </row>
    <row r="360" ht="18.75" customHeight="1">
      <c r="A360" s="37"/>
      <c r="B360" s="30"/>
      <c r="C360" s="30"/>
      <c r="D360" s="1"/>
      <c r="E360" s="30"/>
      <c r="F360" s="37"/>
      <c r="G360" s="37"/>
      <c r="H360" s="45"/>
      <c r="I360" s="37"/>
      <c r="J360" s="30"/>
      <c r="K360" s="30"/>
      <c r="L360" s="30"/>
      <c r="M360" s="37"/>
      <c r="N360" s="30"/>
      <c r="O360" s="4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  <c r="AA360" s="30"/>
    </row>
    <row r="361" ht="18.75" customHeight="1">
      <c r="A361" s="37"/>
      <c r="B361" s="30"/>
      <c r="C361" s="30"/>
      <c r="D361" s="1"/>
      <c r="E361" s="30"/>
      <c r="F361" s="37"/>
      <c r="G361" s="37"/>
      <c r="H361" s="45"/>
      <c r="I361" s="37"/>
      <c r="J361" s="30"/>
      <c r="K361" s="30"/>
      <c r="L361" s="30"/>
      <c r="M361" s="37"/>
      <c r="N361" s="30"/>
      <c r="O361" s="4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  <c r="AA361" s="30"/>
    </row>
    <row r="362" ht="18.75" customHeight="1">
      <c r="A362" s="37"/>
      <c r="B362" s="30"/>
      <c r="C362" s="30"/>
      <c r="D362" s="1"/>
      <c r="E362" s="30"/>
      <c r="F362" s="37"/>
      <c r="G362" s="37"/>
      <c r="H362" s="45"/>
      <c r="I362" s="37"/>
      <c r="J362" s="30"/>
      <c r="K362" s="30"/>
      <c r="L362" s="30"/>
      <c r="M362" s="37"/>
      <c r="N362" s="30"/>
      <c r="O362" s="4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  <c r="AA362" s="30"/>
    </row>
    <row r="363" ht="18.75" customHeight="1">
      <c r="A363" s="37"/>
      <c r="B363" s="30"/>
      <c r="C363" s="30"/>
      <c r="D363" s="1"/>
      <c r="E363" s="30"/>
      <c r="F363" s="37"/>
      <c r="G363" s="37"/>
      <c r="H363" s="45"/>
      <c r="I363" s="37"/>
      <c r="J363" s="30"/>
      <c r="K363" s="30"/>
      <c r="L363" s="30"/>
      <c r="M363" s="37"/>
      <c r="N363" s="30"/>
      <c r="O363" s="4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  <c r="AA363" s="30"/>
    </row>
    <row r="364" ht="18.75" customHeight="1">
      <c r="A364" s="37"/>
      <c r="B364" s="30"/>
      <c r="C364" s="30"/>
      <c r="D364" s="1"/>
      <c r="E364" s="30"/>
      <c r="F364" s="37"/>
      <c r="G364" s="37"/>
      <c r="H364" s="45"/>
      <c r="I364" s="37"/>
      <c r="J364" s="30"/>
      <c r="K364" s="30"/>
      <c r="L364" s="30"/>
      <c r="M364" s="37"/>
      <c r="N364" s="30"/>
      <c r="O364" s="4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  <c r="AA364" s="30"/>
    </row>
    <row r="365" ht="18.75" customHeight="1">
      <c r="A365" s="37"/>
      <c r="B365" s="30"/>
      <c r="C365" s="30"/>
      <c r="D365" s="1"/>
      <c r="E365" s="30"/>
      <c r="F365" s="37"/>
      <c r="G365" s="37"/>
      <c r="H365" s="45"/>
      <c r="I365" s="37"/>
      <c r="J365" s="30"/>
      <c r="K365" s="30"/>
      <c r="L365" s="30"/>
      <c r="M365" s="37"/>
      <c r="N365" s="30"/>
      <c r="O365" s="4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  <c r="AA365" s="30"/>
    </row>
    <row r="366" ht="18.75" customHeight="1">
      <c r="A366" s="37"/>
      <c r="B366" s="30"/>
      <c r="C366" s="30"/>
      <c r="D366" s="1"/>
      <c r="E366" s="30"/>
      <c r="F366" s="37"/>
      <c r="G366" s="37"/>
      <c r="H366" s="45"/>
      <c r="I366" s="37"/>
      <c r="J366" s="30"/>
      <c r="K366" s="30"/>
      <c r="L366" s="30"/>
      <c r="M366" s="37"/>
      <c r="N366" s="30"/>
      <c r="O366" s="4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  <c r="AA366" s="30"/>
    </row>
    <row r="367" ht="18.75" customHeight="1">
      <c r="A367" s="37"/>
      <c r="B367" s="30"/>
      <c r="C367" s="30"/>
      <c r="D367" s="1"/>
      <c r="E367" s="30"/>
      <c r="F367" s="37"/>
      <c r="G367" s="37"/>
      <c r="H367" s="45"/>
      <c r="I367" s="37"/>
      <c r="J367" s="30"/>
      <c r="K367" s="30"/>
      <c r="L367" s="30"/>
      <c r="M367" s="37"/>
      <c r="N367" s="30"/>
      <c r="O367" s="4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  <c r="AA367" s="30"/>
    </row>
    <row r="368" ht="18.75" customHeight="1">
      <c r="A368" s="37"/>
      <c r="B368" s="30"/>
      <c r="C368" s="30"/>
      <c r="D368" s="1"/>
      <c r="E368" s="30"/>
      <c r="F368" s="37"/>
      <c r="G368" s="37"/>
      <c r="H368" s="45"/>
      <c r="I368" s="37"/>
      <c r="J368" s="30"/>
      <c r="K368" s="30"/>
      <c r="L368" s="30"/>
      <c r="M368" s="37"/>
      <c r="N368" s="30"/>
      <c r="O368" s="4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  <c r="AA368" s="30"/>
    </row>
    <row r="369" ht="18.75" customHeight="1">
      <c r="A369" s="37"/>
      <c r="B369" s="30"/>
      <c r="C369" s="30"/>
      <c r="D369" s="1"/>
      <c r="E369" s="30"/>
      <c r="F369" s="37"/>
      <c r="G369" s="37"/>
      <c r="H369" s="45"/>
      <c r="I369" s="37"/>
      <c r="J369" s="30"/>
      <c r="K369" s="30"/>
      <c r="L369" s="30"/>
      <c r="M369" s="37"/>
      <c r="N369" s="30"/>
      <c r="O369" s="4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  <c r="AA369" s="30"/>
    </row>
    <row r="370" ht="18.75" customHeight="1">
      <c r="A370" s="37"/>
      <c r="B370" s="30"/>
      <c r="C370" s="30"/>
      <c r="D370" s="1"/>
      <c r="E370" s="30"/>
      <c r="F370" s="37"/>
      <c r="G370" s="37"/>
      <c r="H370" s="45"/>
      <c r="I370" s="37"/>
      <c r="J370" s="30"/>
      <c r="K370" s="30"/>
      <c r="L370" s="30"/>
      <c r="M370" s="37"/>
      <c r="N370" s="30"/>
      <c r="O370" s="4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  <c r="AA370" s="30"/>
    </row>
    <row r="371" ht="18.75" customHeight="1">
      <c r="A371" s="37"/>
      <c r="B371" s="30"/>
      <c r="C371" s="30"/>
      <c r="D371" s="1"/>
      <c r="E371" s="30"/>
      <c r="F371" s="37"/>
      <c r="G371" s="37"/>
      <c r="H371" s="45"/>
      <c r="I371" s="37"/>
      <c r="J371" s="30"/>
      <c r="K371" s="30"/>
      <c r="L371" s="30"/>
      <c r="M371" s="37"/>
      <c r="N371" s="30"/>
      <c r="O371" s="4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  <c r="AA371" s="30"/>
    </row>
    <row r="372" ht="18.75" customHeight="1">
      <c r="A372" s="37"/>
      <c r="B372" s="30"/>
      <c r="C372" s="30"/>
      <c r="D372" s="1"/>
      <c r="E372" s="30"/>
      <c r="F372" s="37"/>
      <c r="G372" s="37"/>
      <c r="H372" s="45"/>
      <c r="I372" s="37"/>
      <c r="J372" s="30"/>
      <c r="K372" s="30"/>
      <c r="L372" s="30"/>
      <c r="M372" s="37"/>
      <c r="N372" s="30"/>
      <c r="O372" s="4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  <c r="AA372" s="30"/>
    </row>
    <row r="373" ht="18.75" customHeight="1">
      <c r="A373" s="37"/>
      <c r="B373" s="30"/>
      <c r="C373" s="30"/>
      <c r="D373" s="1"/>
      <c r="E373" s="30"/>
      <c r="F373" s="37"/>
      <c r="G373" s="37"/>
      <c r="H373" s="45"/>
      <c r="I373" s="37"/>
      <c r="J373" s="30"/>
      <c r="K373" s="30"/>
      <c r="L373" s="30"/>
      <c r="M373" s="37"/>
      <c r="N373" s="30"/>
      <c r="O373" s="4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  <c r="AA373" s="30"/>
    </row>
    <row r="374" ht="18.75" customHeight="1">
      <c r="A374" s="37"/>
      <c r="B374" s="30"/>
      <c r="C374" s="30"/>
      <c r="D374" s="1"/>
      <c r="E374" s="30"/>
      <c r="F374" s="37"/>
      <c r="G374" s="37"/>
      <c r="H374" s="45"/>
      <c r="I374" s="37"/>
      <c r="J374" s="30"/>
      <c r="K374" s="30"/>
      <c r="L374" s="30"/>
      <c r="M374" s="37"/>
      <c r="N374" s="30"/>
      <c r="O374" s="4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  <c r="AA374" s="30"/>
    </row>
    <row r="375" ht="18.75" customHeight="1">
      <c r="A375" s="37"/>
      <c r="B375" s="30"/>
      <c r="C375" s="30"/>
      <c r="D375" s="1"/>
      <c r="E375" s="30"/>
      <c r="F375" s="37"/>
      <c r="G375" s="37"/>
      <c r="H375" s="45"/>
      <c r="I375" s="37"/>
      <c r="J375" s="30"/>
      <c r="K375" s="30"/>
      <c r="L375" s="30"/>
      <c r="M375" s="37"/>
      <c r="N375" s="30"/>
      <c r="O375" s="4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  <c r="AA375" s="30"/>
    </row>
    <row r="376" ht="18.75" customHeight="1">
      <c r="A376" s="37"/>
      <c r="B376" s="30"/>
      <c r="C376" s="30"/>
      <c r="D376" s="1"/>
      <c r="E376" s="30"/>
      <c r="F376" s="37"/>
      <c r="G376" s="37"/>
      <c r="H376" s="45"/>
      <c r="I376" s="37"/>
      <c r="J376" s="30"/>
      <c r="K376" s="30"/>
      <c r="L376" s="30"/>
      <c r="M376" s="37"/>
      <c r="N376" s="30"/>
      <c r="O376" s="4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  <c r="AA376" s="30"/>
    </row>
    <row r="377" ht="18.75" customHeight="1">
      <c r="A377" s="37"/>
      <c r="B377" s="30"/>
      <c r="C377" s="30"/>
      <c r="D377" s="1"/>
      <c r="E377" s="30"/>
      <c r="F377" s="37"/>
      <c r="G377" s="37"/>
      <c r="H377" s="45"/>
      <c r="I377" s="37"/>
      <c r="J377" s="30"/>
      <c r="K377" s="30"/>
      <c r="L377" s="30"/>
      <c r="M377" s="37"/>
      <c r="N377" s="30"/>
      <c r="O377" s="4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  <c r="AA377" s="30"/>
    </row>
    <row r="378" ht="18.75" customHeight="1">
      <c r="A378" s="37"/>
      <c r="B378" s="30"/>
      <c r="C378" s="30"/>
      <c r="D378" s="1"/>
      <c r="E378" s="30"/>
      <c r="F378" s="37"/>
      <c r="G378" s="37"/>
      <c r="H378" s="45"/>
      <c r="I378" s="37"/>
      <c r="J378" s="30"/>
      <c r="K378" s="30"/>
      <c r="L378" s="30"/>
      <c r="M378" s="37"/>
      <c r="N378" s="30"/>
      <c r="O378" s="4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  <c r="AA378" s="30"/>
    </row>
    <row r="379" ht="18.75" customHeight="1">
      <c r="A379" s="37"/>
      <c r="B379" s="30"/>
      <c r="C379" s="30"/>
      <c r="D379" s="1"/>
      <c r="E379" s="30"/>
      <c r="F379" s="37"/>
      <c r="G379" s="37"/>
      <c r="H379" s="45"/>
      <c r="I379" s="37"/>
      <c r="J379" s="30"/>
      <c r="K379" s="30"/>
      <c r="L379" s="30"/>
      <c r="M379" s="37"/>
      <c r="N379" s="30"/>
      <c r="O379" s="4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  <c r="AA379" s="30"/>
    </row>
    <row r="380" ht="18.75" customHeight="1">
      <c r="A380" s="37"/>
      <c r="B380" s="30"/>
      <c r="C380" s="30"/>
      <c r="D380" s="1"/>
      <c r="E380" s="30"/>
      <c r="F380" s="37"/>
      <c r="G380" s="37"/>
      <c r="H380" s="45"/>
      <c r="I380" s="37"/>
      <c r="J380" s="30"/>
      <c r="K380" s="30"/>
      <c r="L380" s="30"/>
      <c r="M380" s="37"/>
      <c r="N380" s="30"/>
      <c r="O380" s="4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  <c r="AA380" s="30"/>
    </row>
    <row r="381" ht="18.75" customHeight="1">
      <c r="A381" s="37"/>
      <c r="B381" s="30"/>
      <c r="C381" s="30"/>
      <c r="D381" s="1"/>
      <c r="E381" s="30"/>
      <c r="F381" s="37"/>
      <c r="G381" s="37"/>
      <c r="H381" s="45"/>
      <c r="I381" s="37"/>
      <c r="J381" s="30"/>
      <c r="K381" s="30"/>
      <c r="L381" s="30"/>
      <c r="M381" s="37"/>
      <c r="N381" s="30"/>
      <c r="O381" s="4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  <c r="AA381" s="30"/>
    </row>
    <row r="382" ht="18.75" customHeight="1">
      <c r="A382" s="37"/>
      <c r="B382" s="30"/>
      <c r="C382" s="30"/>
      <c r="D382" s="1"/>
      <c r="E382" s="30"/>
      <c r="F382" s="37"/>
      <c r="G382" s="37"/>
      <c r="H382" s="45"/>
      <c r="I382" s="37"/>
      <c r="J382" s="30"/>
      <c r="K382" s="30"/>
      <c r="L382" s="30"/>
      <c r="M382" s="37"/>
      <c r="N382" s="30"/>
      <c r="O382" s="4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  <c r="AA382" s="30"/>
    </row>
    <row r="383" ht="18.75" customHeight="1">
      <c r="A383" s="37"/>
      <c r="B383" s="30"/>
      <c r="C383" s="30"/>
      <c r="D383" s="1"/>
      <c r="E383" s="30"/>
      <c r="F383" s="37"/>
      <c r="G383" s="37"/>
      <c r="H383" s="45"/>
      <c r="I383" s="37"/>
      <c r="J383" s="30"/>
      <c r="K383" s="30"/>
      <c r="L383" s="30"/>
      <c r="M383" s="37"/>
      <c r="N383" s="30"/>
      <c r="O383" s="4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  <c r="AA383" s="30"/>
    </row>
    <row r="384" ht="18.75" customHeight="1">
      <c r="A384" s="37"/>
      <c r="B384" s="30"/>
      <c r="C384" s="30"/>
      <c r="D384" s="1"/>
      <c r="E384" s="30"/>
      <c r="F384" s="37"/>
      <c r="G384" s="37"/>
      <c r="H384" s="45"/>
      <c r="I384" s="37"/>
      <c r="J384" s="30"/>
      <c r="K384" s="30"/>
      <c r="L384" s="30"/>
      <c r="M384" s="37"/>
      <c r="N384" s="30"/>
      <c r="O384" s="4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  <c r="AA384" s="30"/>
    </row>
    <row r="385" ht="18.75" customHeight="1">
      <c r="A385" s="37"/>
      <c r="B385" s="30"/>
      <c r="C385" s="30"/>
      <c r="D385" s="1"/>
      <c r="E385" s="30"/>
      <c r="F385" s="37"/>
      <c r="G385" s="37"/>
      <c r="H385" s="45"/>
      <c r="I385" s="37"/>
      <c r="J385" s="30"/>
      <c r="K385" s="30"/>
      <c r="L385" s="30"/>
      <c r="M385" s="37"/>
      <c r="N385" s="30"/>
      <c r="O385" s="4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  <c r="AA385" s="30"/>
    </row>
    <row r="386" ht="18.75" customHeight="1">
      <c r="A386" s="37"/>
      <c r="B386" s="30"/>
      <c r="C386" s="30"/>
      <c r="D386" s="1"/>
      <c r="E386" s="30"/>
      <c r="F386" s="37"/>
      <c r="G386" s="37"/>
      <c r="H386" s="45"/>
      <c r="I386" s="37"/>
      <c r="J386" s="30"/>
      <c r="K386" s="30"/>
      <c r="L386" s="30"/>
      <c r="M386" s="37"/>
      <c r="N386" s="30"/>
      <c r="O386" s="4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  <c r="AA386" s="30"/>
    </row>
    <row r="387" ht="18.75" customHeight="1">
      <c r="A387" s="37"/>
      <c r="B387" s="30"/>
      <c r="C387" s="30"/>
      <c r="D387" s="1"/>
      <c r="E387" s="30"/>
      <c r="F387" s="37"/>
      <c r="G387" s="37"/>
      <c r="H387" s="45"/>
      <c r="I387" s="37"/>
      <c r="J387" s="30"/>
      <c r="K387" s="30"/>
      <c r="L387" s="30"/>
      <c r="M387" s="37"/>
      <c r="N387" s="30"/>
      <c r="O387" s="4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  <c r="AA387" s="30"/>
    </row>
    <row r="388" ht="18.75" customHeight="1">
      <c r="A388" s="37"/>
      <c r="B388" s="30"/>
      <c r="C388" s="30"/>
      <c r="D388" s="1"/>
      <c r="E388" s="30"/>
      <c r="F388" s="37"/>
      <c r="G388" s="37"/>
      <c r="H388" s="45"/>
      <c r="I388" s="37"/>
      <c r="J388" s="30"/>
      <c r="K388" s="30"/>
      <c r="L388" s="30"/>
      <c r="M388" s="37"/>
      <c r="N388" s="30"/>
      <c r="O388" s="4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  <c r="AA388" s="30"/>
    </row>
    <row r="389" ht="18.75" customHeight="1">
      <c r="A389" s="37"/>
      <c r="B389" s="30"/>
      <c r="C389" s="30"/>
      <c r="D389" s="1"/>
      <c r="E389" s="30"/>
      <c r="F389" s="37"/>
      <c r="G389" s="37"/>
      <c r="H389" s="45"/>
      <c r="I389" s="37"/>
      <c r="J389" s="30"/>
      <c r="K389" s="30"/>
      <c r="L389" s="30"/>
      <c r="M389" s="37"/>
      <c r="N389" s="30"/>
      <c r="O389" s="4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  <c r="AA389" s="30"/>
    </row>
    <row r="390" ht="18.75" customHeight="1">
      <c r="A390" s="37"/>
      <c r="B390" s="30"/>
      <c r="C390" s="30"/>
      <c r="D390" s="1"/>
      <c r="E390" s="30"/>
      <c r="F390" s="37"/>
      <c r="G390" s="37"/>
      <c r="H390" s="45"/>
      <c r="I390" s="37"/>
      <c r="J390" s="30"/>
      <c r="K390" s="30"/>
      <c r="L390" s="30"/>
      <c r="M390" s="37"/>
      <c r="N390" s="30"/>
      <c r="O390" s="4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  <c r="AA390" s="30"/>
    </row>
    <row r="391" ht="18.75" customHeight="1">
      <c r="A391" s="37"/>
      <c r="B391" s="30"/>
      <c r="C391" s="30"/>
      <c r="D391" s="1"/>
      <c r="E391" s="30"/>
      <c r="F391" s="37"/>
      <c r="G391" s="37"/>
      <c r="H391" s="45"/>
      <c r="I391" s="37"/>
      <c r="J391" s="30"/>
      <c r="K391" s="30"/>
      <c r="L391" s="30"/>
      <c r="M391" s="37"/>
      <c r="N391" s="30"/>
      <c r="O391" s="4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  <c r="AA391" s="30"/>
    </row>
    <row r="392" ht="18.75" customHeight="1">
      <c r="A392" s="37"/>
      <c r="B392" s="30"/>
      <c r="C392" s="30"/>
      <c r="D392" s="1"/>
      <c r="E392" s="30"/>
      <c r="F392" s="37"/>
      <c r="G392" s="37"/>
      <c r="H392" s="45"/>
      <c r="I392" s="37"/>
      <c r="J392" s="30"/>
      <c r="K392" s="30"/>
      <c r="L392" s="30"/>
      <c r="M392" s="37"/>
      <c r="N392" s="30"/>
      <c r="O392" s="4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  <c r="AA392" s="30"/>
    </row>
    <row r="393" ht="18.75" customHeight="1">
      <c r="A393" s="37"/>
      <c r="B393" s="30"/>
      <c r="C393" s="30"/>
      <c r="D393" s="1"/>
      <c r="E393" s="30"/>
      <c r="F393" s="37"/>
      <c r="G393" s="37"/>
      <c r="H393" s="45"/>
      <c r="I393" s="37"/>
      <c r="J393" s="30"/>
      <c r="K393" s="30"/>
      <c r="L393" s="30"/>
      <c r="M393" s="37"/>
      <c r="N393" s="30"/>
      <c r="O393" s="4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  <c r="AA393" s="30"/>
    </row>
    <row r="394" ht="18.75" customHeight="1">
      <c r="A394" s="37"/>
      <c r="B394" s="30"/>
      <c r="C394" s="30"/>
      <c r="D394" s="1"/>
      <c r="E394" s="30"/>
      <c r="F394" s="37"/>
      <c r="G394" s="37"/>
      <c r="H394" s="45"/>
      <c r="I394" s="37"/>
      <c r="J394" s="30"/>
      <c r="K394" s="30"/>
      <c r="L394" s="30"/>
      <c r="M394" s="37"/>
      <c r="N394" s="30"/>
      <c r="O394" s="4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  <c r="AA394" s="30"/>
    </row>
    <row r="395" ht="18.75" customHeight="1">
      <c r="A395" s="37"/>
      <c r="B395" s="30"/>
      <c r="C395" s="30"/>
      <c r="D395" s="1"/>
      <c r="E395" s="30"/>
      <c r="F395" s="37"/>
      <c r="G395" s="37"/>
      <c r="H395" s="45"/>
      <c r="I395" s="37"/>
      <c r="J395" s="30"/>
      <c r="K395" s="30"/>
      <c r="L395" s="30"/>
      <c r="M395" s="37"/>
      <c r="N395" s="30"/>
      <c r="O395" s="4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  <c r="AA395" s="30"/>
    </row>
    <row r="396" ht="18.75" customHeight="1">
      <c r="A396" s="37"/>
      <c r="B396" s="30"/>
      <c r="C396" s="30"/>
      <c r="D396" s="1"/>
      <c r="E396" s="30"/>
      <c r="F396" s="37"/>
      <c r="G396" s="37"/>
      <c r="H396" s="45"/>
      <c r="I396" s="37"/>
      <c r="J396" s="30"/>
      <c r="K396" s="30"/>
      <c r="L396" s="30"/>
      <c r="M396" s="37"/>
      <c r="N396" s="30"/>
      <c r="O396" s="4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  <c r="AA396" s="30"/>
    </row>
    <row r="397" ht="18.75" customHeight="1">
      <c r="A397" s="37"/>
      <c r="B397" s="30"/>
      <c r="C397" s="30"/>
      <c r="D397" s="1"/>
      <c r="E397" s="30"/>
      <c r="F397" s="37"/>
      <c r="G397" s="37"/>
      <c r="H397" s="45"/>
      <c r="I397" s="37"/>
      <c r="J397" s="30"/>
      <c r="K397" s="30"/>
      <c r="L397" s="30"/>
      <c r="M397" s="37"/>
      <c r="N397" s="30"/>
      <c r="O397" s="4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  <c r="AA397" s="30"/>
    </row>
    <row r="398" ht="18.75" customHeight="1">
      <c r="A398" s="37"/>
      <c r="B398" s="30"/>
      <c r="C398" s="30"/>
      <c r="D398" s="1"/>
      <c r="E398" s="30"/>
      <c r="F398" s="37"/>
      <c r="G398" s="37"/>
      <c r="H398" s="45"/>
      <c r="I398" s="37"/>
      <c r="J398" s="30"/>
      <c r="K398" s="30"/>
      <c r="L398" s="30"/>
      <c r="M398" s="37"/>
      <c r="N398" s="30"/>
      <c r="O398" s="4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  <c r="AA398" s="30"/>
    </row>
    <row r="399" ht="18.75" customHeight="1">
      <c r="A399" s="37"/>
      <c r="B399" s="30"/>
      <c r="C399" s="30"/>
      <c r="D399" s="1"/>
      <c r="E399" s="30"/>
      <c r="F399" s="37"/>
      <c r="G399" s="37"/>
      <c r="H399" s="45"/>
      <c r="I399" s="37"/>
      <c r="J399" s="30"/>
      <c r="K399" s="30"/>
      <c r="L399" s="30"/>
      <c r="M399" s="37"/>
      <c r="N399" s="30"/>
      <c r="O399" s="4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  <c r="AA399" s="30"/>
    </row>
    <row r="400" ht="18.75" customHeight="1">
      <c r="A400" s="37"/>
      <c r="B400" s="30"/>
      <c r="C400" s="30"/>
      <c r="D400" s="1"/>
      <c r="E400" s="30"/>
      <c r="F400" s="37"/>
      <c r="G400" s="37"/>
      <c r="H400" s="45"/>
      <c r="I400" s="37"/>
      <c r="J400" s="30"/>
      <c r="K400" s="30"/>
      <c r="L400" s="30"/>
      <c r="M400" s="37"/>
      <c r="N400" s="30"/>
      <c r="O400" s="4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  <c r="AA400" s="30"/>
    </row>
    <row r="401" ht="18.75" customHeight="1">
      <c r="A401" s="37"/>
      <c r="B401" s="30"/>
      <c r="C401" s="30"/>
      <c r="D401" s="1"/>
      <c r="E401" s="30"/>
      <c r="F401" s="37"/>
      <c r="G401" s="37"/>
      <c r="H401" s="45"/>
      <c r="I401" s="37"/>
      <c r="J401" s="30"/>
      <c r="K401" s="30"/>
      <c r="L401" s="30"/>
      <c r="M401" s="37"/>
      <c r="N401" s="30"/>
      <c r="O401" s="4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  <c r="AA401" s="30"/>
    </row>
    <row r="402" ht="18.75" customHeight="1">
      <c r="A402" s="37"/>
      <c r="B402" s="30"/>
      <c r="C402" s="30"/>
      <c r="D402" s="1"/>
      <c r="E402" s="30"/>
      <c r="F402" s="37"/>
      <c r="G402" s="37"/>
      <c r="H402" s="45"/>
      <c r="I402" s="37"/>
      <c r="J402" s="30"/>
      <c r="K402" s="30"/>
      <c r="L402" s="30"/>
      <c r="M402" s="37"/>
      <c r="N402" s="30"/>
      <c r="O402" s="4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  <c r="AA402" s="30"/>
    </row>
    <row r="403" ht="18.75" customHeight="1">
      <c r="A403" s="37"/>
      <c r="B403" s="30"/>
      <c r="C403" s="30"/>
      <c r="D403" s="1"/>
      <c r="E403" s="30"/>
      <c r="F403" s="37"/>
      <c r="G403" s="37"/>
      <c r="H403" s="45"/>
      <c r="I403" s="37"/>
      <c r="J403" s="30"/>
      <c r="K403" s="30"/>
      <c r="L403" s="30"/>
      <c r="M403" s="37"/>
      <c r="N403" s="30"/>
      <c r="O403" s="4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  <c r="AA403" s="30"/>
    </row>
    <row r="404" ht="18.75" customHeight="1">
      <c r="A404" s="37"/>
      <c r="B404" s="30"/>
      <c r="C404" s="30"/>
      <c r="D404" s="1"/>
      <c r="E404" s="30"/>
      <c r="F404" s="37"/>
      <c r="G404" s="37"/>
      <c r="H404" s="45"/>
      <c r="I404" s="37"/>
      <c r="J404" s="30"/>
      <c r="K404" s="30"/>
      <c r="L404" s="30"/>
      <c r="M404" s="37"/>
      <c r="N404" s="30"/>
      <c r="O404" s="4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  <c r="AA404" s="30"/>
    </row>
    <row r="405" ht="18.75" customHeight="1">
      <c r="A405" s="37"/>
      <c r="B405" s="30"/>
      <c r="C405" s="30"/>
      <c r="D405" s="1"/>
      <c r="E405" s="30"/>
      <c r="F405" s="37"/>
      <c r="G405" s="37"/>
      <c r="H405" s="45"/>
      <c r="I405" s="37"/>
      <c r="J405" s="30"/>
      <c r="K405" s="30"/>
      <c r="L405" s="30"/>
      <c r="M405" s="37"/>
      <c r="N405" s="30"/>
      <c r="O405" s="4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  <c r="AA405" s="30"/>
    </row>
    <row r="406" ht="18.75" customHeight="1">
      <c r="A406" s="37"/>
      <c r="B406" s="30"/>
      <c r="C406" s="30"/>
      <c r="D406" s="1"/>
      <c r="E406" s="30"/>
      <c r="F406" s="37"/>
      <c r="G406" s="37"/>
      <c r="H406" s="45"/>
      <c r="I406" s="37"/>
      <c r="J406" s="30"/>
      <c r="K406" s="30"/>
      <c r="L406" s="30"/>
      <c r="M406" s="37"/>
      <c r="N406" s="30"/>
      <c r="O406" s="4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  <c r="AA406" s="30"/>
    </row>
    <row r="407" ht="18.75" customHeight="1">
      <c r="A407" s="37"/>
      <c r="B407" s="30"/>
      <c r="C407" s="30"/>
      <c r="D407" s="1"/>
      <c r="E407" s="30"/>
      <c r="F407" s="37"/>
      <c r="G407" s="37"/>
      <c r="H407" s="45"/>
      <c r="I407" s="37"/>
      <c r="J407" s="30"/>
      <c r="K407" s="30"/>
      <c r="L407" s="30"/>
      <c r="M407" s="37"/>
      <c r="N407" s="30"/>
      <c r="O407" s="4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  <c r="AA407" s="30"/>
    </row>
    <row r="408" ht="18.75" customHeight="1">
      <c r="A408" s="37"/>
      <c r="B408" s="30"/>
      <c r="C408" s="30"/>
      <c r="D408" s="1"/>
      <c r="E408" s="30"/>
      <c r="F408" s="37"/>
      <c r="G408" s="37"/>
      <c r="H408" s="45"/>
      <c r="I408" s="37"/>
      <c r="J408" s="30"/>
      <c r="K408" s="30"/>
      <c r="L408" s="30"/>
      <c r="M408" s="37"/>
      <c r="N408" s="30"/>
      <c r="O408" s="4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  <c r="AA408" s="30"/>
    </row>
    <row r="409" ht="18.75" customHeight="1">
      <c r="A409" s="37"/>
      <c r="B409" s="30"/>
      <c r="C409" s="30"/>
      <c r="D409" s="1"/>
      <c r="E409" s="30"/>
      <c r="F409" s="37"/>
      <c r="G409" s="37"/>
      <c r="H409" s="45"/>
      <c r="I409" s="37"/>
      <c r="J409" s="30"/>
      <c r="K409" s="30"/>
      <c r="L409" s="30"/>
      <c r="M409" s="37"/>
      <c r="N409" s="30"/>
      <c r="O409" s="4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  <c r="AA409" s="30"/>
    </row>
    <row r="410" ht="18.75" customHeight="1">
      <c r="A410" s="37"/>
      <c r="B410" s="30"/>
      <c r="C410" s="30"/>
      <c r="D410" s="1"/>
      <c r="E410" s="30"/>
      <c r="F410" s="37"/>
      <c r="G410" s="37"/>
      <c r="H410" s="45"/>
      <c r="I410" s="37"/>
      <c r="J410" s="30"/>
      <c r="K410" s="30"/>
      <c r="L410" s="30"/>
      <c r="M410" s="37"/>
      <c r="N410" s="30"/>
      <c r="O410" s="4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  <c r="AA410" s="30"/>
    </row>
    <row r="411" ht="18.75" customHeight="1">
      <c r="A411" s="37"/>
      <c r="B411" s="30"/>
      <c r="C411" s="30"/>
      <c r="D411" s="1"/>
      <c r="E411" s="30"/>
      <c r="F411" s="37"/>
      <c r="G411" s="37"/>
      <c r="H411" s="45"/>
      <c r="I411" s="37"/>
      <c r="J411" s="30"/>
      <c r="K411" s="30"/>
      <c r="L411" s="30"/>
      <c r="M411" s="37"/>
      <c r="N411" s="30"/>
      <c r="O411" s="4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  <c r="AA411" s="30"/>
    </row>
    <row r="412" ht="18.75" customHeight="1">
      <c r="A412" s="37"/>
      <c r="B412" s="30"/>
      <c r="C412" s="30"/>
      <c r="D412" s="1"/>
      <c r="E412" s="30"/>
      <c r="F412" s="37"/>
      <c r="G412" s="37"/>
      <c r="H412" s="45"/>
      <c r="I412" s="37"/>
      <c r="J412" s="30"/>
      <c r="K412" s="30"/>
      <c r="L412" s="30"/>
      <c r="M412" s="37"/>
      <c r="N412" s="30"/>
      <c r="O412" s="4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  <c r="AA412" s="30"/>
    </row>
    <row r="413" ht="18.75" customHeight="1">
      <c r="A413" s="37"/>
      <c r="B413" s="30"/>
      <c r="C413" s="30"/>
      <c r="D413" s="1"/>
      <c r="E413" s="30"/>
      <c r="F413" s="37"/>
      <c r="G413" s="37"/>
      <c r="H413" s="45"/>
      <c r="I413" s="37"/>
      <c r="J413" s="30"/>
      <c r="K413" s="30"/>
      <c r="L413" s="30"/>
      <c r="M413" s="37"/>
      <c r="N413" s="30"/>
      <c r="O413" s="4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  <c r="AA413" s="30"/>
    </row>
    <row r="414" ht="18.75" customHeight="1">
      <c r="A414" s="37"/>
      <c r="B414" s="30"/>
      <c r="C414" s="30"/>
      <c r="D414" s="1"/>
      <c r="E414" s="30"/>
      <c r="F414" s="37"/>
      <c r="G414" s="37"/>
      <c r="H414" s="45"/>
      <c r="I414" s="37"/>
      <c r="J414" s="30"/>
      <c r="K414" s="30"/>
      <c r="L414" s="30"/>
      <c r="M414" s="37"/>
      <c r="N414" s="30"/>
      <c r="O414" s="4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  <c r="AA414" s="30"/>
    </row>
    <row r="415" ht="18.75" customHeight="1">
      <c r="A415" s="37"/>
      <c r="B415" s="30"/>
      <c r="C415" s="30"/>
      <c r="D415" s="1"/>
      <c r="E415" s="30"/>
      <c r="F415" s="37"/>
      <c r="G415" s="37"/>
      <c r="H415" s="45"/>
      <c r="I415" s="37"/>
      <c r="J415" s="30"/>
      <c r="K415" s="30"/>
      <c r="L415" s="30"/>
      <c r="M415" s="37"/>
      <c r="N415" s="30"/>
      <c r="O415" s="4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  <c r="AA415" s="30"/>
    </row>
    <row r="416" ht="18.75" customHeight="1">
      <c r="A416" s="37"/>
      <c r="B416" s="30"/>
      <c r="C416" s="30"/>
      <c r="D416" s="1"/>
      <c r="E416" s="30"/>
      <c r="F416" s="37"/>
      <c r="G416" s="37"/>
      <c r="H416" s="45"/>
      <c r="I416" s="37"/>
      <c r="J416" s="30"/>
      <c r="K416" s="30"/>
      <c r="L416" s="30"/>
      <c r="M416" s="37"/>
      <c r="N416" s="30"/>
      <c r="O416" s="4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  <c r="AA416" s="30"/>
    </row>
    <row r="417" ht="18.75" customHeight="1">
      <c r="A417" s="37"/>
      <c r="B417" s="30"/>
      <c r="C417" s="30"/>
      <c r="D417" s="1"/>
      <c r="E417" s="30"/>
      <c r="F417" s="37"/>
      <c r="G417" s="37"/>
      <c r="H417" s="45"/>
      <c r="I417" s="37"/>
      <c r="J417" s="30"/>
      <c r="K417" s="30"/>
      <c r="L417" s="30"/>
      <c r="M417" s="37"/>
      <c r="N417" s="30"/>
      <c r="O417" s="4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  <c r="AA417" s="30"/>
    </row>
    <row r="418" ht="18.75" customHeight="1">
      <c r="A418" s="37"/>
      <c r="B418" s="30"/>
      <c r="C418" s="30"/>
      <c r="D418" s="1"/>
      <c r="E418" s="30"/>
      <c r="F418" s="37"/>
      <c r="G418" s="37"/>
      <c r="H418" s="45"/>
      <c r="I418" s="37"/>
      <c r="J418" s="30"/>
      <c r="K418" s="30"/>
      <c r="L418" s="30"/>
      <c r="M418" s="37"/>
      <c r="N418" s="30"/>
      <c r="O418" s="4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  <c r="AA418" s="30"/>
    </row>
    <row r="419" ht="18.75" customHeight="1">
      <c r="A419" s="37"/>
      <c r="B419" s="30"/>
      <c r="C419" s="30"/>
      <c r="D419" s="1"/>
      <c r="E419" s="30"/>
      <c r="F419" s="37"/>
      <c r="G419" s="37"/>
      <c r="H419" s="45"/>
      <c r="I419" s="37"/>
      <c r="J419" s="30"/>
      <c r="K419" s="30"/>
      <c r="L419" s="30"/>
      <c r="M419" s="37"/>
      <c r="N419" s="30"/>
      <c r="O419" s="4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  <c r="AA419" s="30"/>
    </row>
    <row r="420" ht="18.75" customHeight="1">
      <c r="A420" s="37"/>
      <c r="B420" s="30"/>
      <c r="C420" s="30"/>
      <c r="D420" s="1"/>
      <c r="E420" s="30"/>
      <c r="F420" s="37"/>
      <c r="G420" s="37"/>
      <c r="H420" s="45"/>
      <c r="I420" s="37"/>
      <c r="J420" s="30"/>
      <c r="K420" s="30"/>
      <c r="L420" s="30"/>
      <c r="M420" s="37"/>
      <c r="N420" s="30"/>
      <c r="O420" s="4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  <c r="AA420" s="30"/>
    </row>
    <row r="421" ht="18.75" customHeight="1">
      <c r="A421" s="37"/>
      <c r="B421" s="30"/>
      <c r="C421" s="30"/>
      <c r="D421" s="1"/>
      <c r="E421" s="30"/>
      <c r="F421" s="37"/>
      <c r="G421" s="37"/>
      <c r="H421" s="45"/>
      <c r="I421" s="37"/>
      <c r="J421" s="30"/>
      <c r="K421" s="30"/>
      <c r="L421" s="30"/>
      <c r="M421" s="37"/>
      <c r="N421" s="30"/>
      <c r="O421" s="4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  <c r="AA421" s="30"/>
    </row>
    <row r="422" ht="18.75" customHeight="1">
      <c r="A422" s="37"/>
      <c r="B422" s="30"/>
      <c r="C422" s="30"/>
      <c r="D422" s="1"/>
      <c r="E422" s="30"/>
      <c r="F422" s="37"/>
      <c r="G422" s="37"/>
      <c r="H422" s="45"/>
      <c r="I422" s="37"/>
      <c r="J422" s="30"/>
      <c r="K422" s="30"/>
      <c r="L422" s="30"/>
      <c r="M422" s="37"/>
      <c r="N422" s="30"/>
      <c r="O422" s="4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  <c r="AA422" s="30"/>
    </row>
    <row r="423" ht="18.75" customHeight="1">
      <c r="A423" s="37"/>
      <c r="B423" s="30"/>
      <c r="C423" s="30"/>
      <c r="D423" s="1"/>
      <c r="E423" s="30"/>
      <c r="F423" s="37"/>
      <c r="G423" s="37"/>
      <c r="H423" s="45"/>
      <c r="I423" s="37"/>
      <c r="J423" s="30"/>
      <c r="K423" s="30"/>
      <c r="L423" s="30"/>
      <c r="M423" s="37"/>
      <c r="N423" s="30"/>
      <c r="O423" s="4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  <c r="AA423" s="30"/>
    </row>
    <row r="424" ht="18.75" customHeight="1">
      <c r="A424" s="37"/>
      <c r="B424" s="30"/>
      <c r="C424" s="30"/>
      <c r="D424" s="1"/>
      <c r="E424" s="30"/>
      <c r="F424" s="37"/>
      <c r="G424" s="37"/>
      <c r="H424" s="45"/>
      <c r="I424" s="37"/>
      <c r="J424" s="30"/>
      <c r="K424" s="30"/>
      <c r="L424" s="30"/>
      <c r="M424" s="37"/>
      <c r="N424" s="30"/>
      <c r="O424" s="4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  <c r="AA424" s="30"/>
    </row>
    <row r="425" ht="18.75" customHeight="1">
      <c r="A425" s="37"/>
      <c r="B425" s="30"/>
      <c r="C425" s="30"/>
      <c r="D425" s="1"/>
      <c r="E425" s="30"/>
      <c r="F425" s="37"/>
      <c r="G425" s="37"/>
      <c r="H425" s="45"/>
      <c r="I425" s="37"/>
      <c r="J425" s="30"/>
      <c r="K425" s="30"/>
      <c r="L425" s="30"/>
      <c r="M425" s="37"/>
      <c r="N425" s="30"/>
      <c r="O425" s="4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  <c r="AA425" s="30"/>
    </row>
    <row r="426" ht="18.75" customHeight="1">
      <c r="A426" s="37"/>
      <c r="B426" s="30"/>
      <c r="C426" s="30"/>
      <c r="D426" s="1"/>
      <c r="E426" s="30"/>
      <c r="F426" s="37"/>
      <c r="G426" s="37"/>
      <c r="H426" s="45"/>
      <c r="I426" s="37"/>
      <c r="J426" s="30"/>
      <c r="K426" s="30"/>
      <c r="L426" s="30"/>
      <c r="M426" s="37"/>
      <c r="N426" s="30"/>
      <c r="O426" s="4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  <c r="AA426" s="30"/>
    </row>
    <row r="427" ht="18.75" customHeight="1">
      <c r="A427" s="37"/>
      <c r="B427" s="30"/>
      <c r="C427" s="30"/>
      <c r="D427" s="1"/>
      <c r="E427" s="30"/>
      <c r="F427" s="37"/>
      <c r="G427" s="37"/>
      <c r="H427" s="45"/>
      <c r="I427" s="37"/>
      <c r="J427" s="30"/>
      <c r="K427" s="30"/>
      <c r="L427" s="30"/>
      <c r="M427" s="37"/>
      <c r="N427" s="30"/>
      <c r="O427" s="4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  <c r="AA427" s="30"/>
    </row>
    <row r="428" ht="18.75" customHeight="1">
      <c r="A428" s="37"/>
      <c r="B428" s="30"/>
      <c r="C428" s="30"/>
      <c r="D428" s="1"/>
      <c r="E428" s="30"/>
      <c r="F428" s="37"/>
      <c r="G428" s="37"/>
      <c r="H428" s="45"/>
      <c r="I428" s="37"/>
      <c r="J428" s="30"/>
      <c r="K428" s="30"/>
      <c r="L428" s="30"/>
      <c r="M428" s="37"/>
      <c r="N428" s="30"/>
      <c r="O428" s="4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  <c r="AA428" s="30"/>
    </row>
    <row r="429" ht="18.75" customHeight="1">
      <c r="A429" s="37"/>
      <c r="B429" s="30"/>
      <c r="C429" s="30"/>
      <c r="D429" s="1"/>
      <c r="E429" s="30"/>
      <c r="F429" s="37"/>
      <c r="G429" s="37"/>
      <c r="H429" s="45"/>
      <c r="I429" s="37"/>
      <c r="J429" s="30"/>
      <c r="K429" s="30"/>
      <c r="L429" s="30"/>
      <c r="M429" s="37"/>
      <c r="N429" s="30"/>
      <c r="O429" s="4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  <c r="AA429" s="30"/>
    </row>
    <row r="430" ht="18.75" customHeight="1">
      <c r="A430" s="37"/>
      <c r="B430" s="30"/>
      <c r="C430" s="30"/>
      <c r="D430" s="1"/>
      <c r="E430" s="30"/>
      <c r="F430" s="37"/>
      <c r="G430" s="37"/>
      <c r="H430" s="45"/>
      <c r="I430" s="37"/>
      <c r="J430" s="30"/>
      <c r="K430" s="30"/>
      <c r="L430" s="30"/>
      <c r="M430" s="37"/>
      <c r="N430" s="30"/>
      <c r="O430" s="4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  <c r="AA430" s="30"/>
    </row>
    <row r="431" ht="18.75" customHeight="1">
      <c r="A431" s="37"/>
      <c r="B431" s="30"/>
      <c r="C431" s="30"/>
      <c r="D431" s="1"/>
      <c r="E431" s="30"/>
      <c r="F431" s="37"/>
      <c r="G431" s="37"/>
      <c r="H431" s="45"/>
      <c r="I431" s="37"/>
      <c r="J431" s="30"/>
      <c r="K431" s="30"/>
      <c r="L431" s="30"/>
      <c r="M431" s="37"/>
      <c r="N431" s="30"/>
      <c r="O431" s="4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  <c r="AA431" s="30"/>
    </row>
    <row r="432" ht="18.75" customHeight="1">
      <c r="A432" s="37"/>
      <c r="B432" s="30"/>
      <c r="C432" s="30"/>
      <c r="D432" s="1"/>
      <c r="E432" s="30"/>
      <c r="F432" s="37"/>
      <c r="G432" s="37"/>
      <c r="H432" s="45"/>
      <c r="I432" s="37"/>
      <c r="J432" s="30"/>
      <c r="K432" s="30"/>
      <c r="L432" s="30"/>
      <c r="M432" s="37"/>
      <c r="N432" s="30"/>
      <c r="O432" s="4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  <c r="AA432" s="30"/>
    </row>
    <row r="433" ht="18.75" customHeight="1">
      <c r="A433" s="37"/>
      <c r="B433" s="30"/>
      <c r="C433" s="30"/>
      <c r="D433" s="1"/>
      <c r="E433" s="30"/>
      <c r="F433" s="37"/>
      <c r="G433" s="37"/>
      <c r="H433" s="45"/>
      <c r="I433" s="37"/>
      <c r="J433" s="30"/>
      <c r="K433" s="30"/>
      <c r="L433" s="30"/>
      <c r="M433" s="37"/>
      <c r="N433" s="30"/>
      <c r="O433" s="4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  <c r="AA433" s="30"/>
    </row>
    <row r="434" ht="18.75" customHeight="1">
      <c r="A434" s="37"/>
      <c r="B434" s="30"/>
      <c r="C434" s="30"/>
      <c r="D434" s="1"/>
      <c r="E434" s="30"/>
      <c r="F434" s="37"/>
      <c r="G434" s="37"/>
      <c r="H434" s="45"/>
      <c r="I434" s="37"/>
      <c r="J434" s="30"/>
      <c r="K434" s="30"/>
      <c r="L434" s="30"/>
      <c r="M434" s="37"/>
      <c r="N434" s="30"/>
      <c r="O434" s="4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  <c r="AA434" s="30"/>
    </row>
    <row r="435" ht="18.75" customHeight="1">
      <c r="A435" s="37"/>
      <c r="B435" s="30"/>
      <c r="C435" s="30"/>
      <c r="D435" s="1"/>
      <c r="E435" s="30"/>
      <c r="F435" s="37"/>
      <c r="G435" s="37"/>
      <c r="H435" s="45"/>
      <c r="I435" s="37"/>
      <c r="J435" s="30"/>
      <c r="K435" s="30"/>
      <c r="L435" s="30"/>
      <c r="M435" s="37"/>
      <c r="N435" s="30"/>
      <c r="O435" s="4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  <c r="AA435" s="30"/>
    </row>
    <row r="436" ht="18.75" customHeight="1">
      <c r="A436" s="37"/>
      <c r="B436" s="30"/>
      <c r="C436" s="30"/>
      <c r="D436" s="1"/>
      <c r="E436" s="30"/>
      <c r="F436" s="37"/>
      <c r="G436" s="37"/>
      <c r="H436" s="45"/>
      <c r="I436" s="37"/>
      <c r="J436" s="30"/>
      <c r="K436" s="30"/>
      <c r="L436" s="30"/>
      <c r="M436" s="37"/>
      <c r="N436" s="30"/>
      <c r="O436" s="4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  <c r="AA436" s="30"/>
    </row>
    <row r="437" ht="18.75" customHeight="1">
      <c r="A437" s="37"/>
      <c r="B437" s="30"/>
      <c r="C437" s="30"/>
      <c r="D437" s="1"/>
      <c r="E437" s="30"/>
      <c r="F437" s="37"/>
      <c r="G437" s="37"/>
      <c r="H437" s="45"/>
      <c r="I437" s="37"/>
      <c r="J437" s="30"/>
      <c r="K437" s="30"/>
      <c r="L437" s="30"/>
      <c r="M437" s="37"/>
      <c r="N437" s="30"/>
      <c r="O437" s="4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  <c r="AA437" s="30"/>
    </row>
    <row r="438" ht="18.75" customHeight="1">
      <c r="A438" s="37"/>
      <c r="B438" s="30"/>
      <c r="C438" s="30"/>
      <c r="D438" s="1"/>
      <c r="E438" s="30"/>
      <c r="F438" s="37"/>
      <c r="G438" s="37"/>
      <c r="H438" s="45"/>
      <c r="I438" s="37"/>
      <c r="J438" s="30"/>
      <c r="K438" s="30"/>
      <c r="L438" s="30"/>
      <c r="M438" s="37"/>
      <c r="N438" s="30"/>
      <c r="O438" s="4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  <c r="AA438" s="30"/>
    </row>
    <row r="439" ht="18.75" customHeight="1">
      <c r="A439" s="37"/>
      <c r="B439" s="30"/>
      <c r="C439" s="30"/>
      <c r="D439" s="1"/>
      <c r="E439" s="30"/>
      <c r="F439" s="37"/>
      <c r="G439" s="37"/>
      <c r="H439" s="45"/>
      <c r="I439" s="37"/>
      <c r="J439" s="30"/>
      <c r="K439" s="30"/>
      <c r="L439" s="30"/>
      <c r="M439" s="37"/>
      <c r="N439" s="30"/>
      <c r="O439" s="4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  <c r="AA439" s="30"/>
    </row>
    <row r="440" ht="18.75" customHeight="1">
      <c r="A440" s="37"/>
      <c r="B440" s="30"/>
      <c r="C440" s="30"/>
      <c r="D440" s="1"/>
      <c r="E440" s="30"/>
      <c r="F440" s="37"/>
      <c r="G440" s="37"/>
      <c r="H440" s="45"/>
      <c r="I440" s="37"/>
      <c r="J440" s="30"/>
      <c r="K440" s="30"/>
      <c r="L440" s="30"/>
      <c r="M440" s="37"/>
      <c r="N440" s="30"/>
      <c r="O440" s="4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  <c r="AA440" s="30"/>
    </row>
    <row r="441" ht="18.75" customHeight="1">
      <c r="A441" s="37"/>
      <c r="B441" s="30"/>
      <c r="C441" s="30"/>
      <c r="D441" s="1"/>
      <c r="E441" s="30"/>
      <c r="F441" s="37"/>
      <c r="G441" s="37"/>
      <c r="H441" s="45"/>
      <c r="I441" s="37"/>
      <c r="J441" s="30"/>
      <c r="K441" s="30"/>
      <c r="L441" s="30"/>
      <c r="M441" s="37"/>
      <c r="N441" s="30"/>
      <c r="O441" s="4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  <c r="AA441" s="30"/>
    </row>
    <row r="442" ht="18.75" customHeight="1">
      <c r="A442" s="37"/>
      <c r="B442" s="30"/>
      <c r="C442" s="30"/>
      <c r="D442" s="1"/>
      <c r="E442" s="30"/>
      <c r="F442" s="37"/>
      <c r="G442" s="37"/>
      <c r="H442" s="45"/>
      <c r="I442" s="37"/>
      <c r="J442" s="30"/>
      <c r="K442" s="30"/>
      <c r="L442" s="30"/>
      <c r="M442" s="37"/>
      <c r="N442" s="30"/>
      <c r="O442" s="4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  <c r="AA442" s="30"/>
    </row>
    <row r="443" ht="18.75" customHeight="1">
      <c r="A443" s="37"/>
      <c r="B443" s="30"/>
      <c r="C443" s="30"/>
      <c r="D443" s="1"/>
      <c r="E443" s="30"/>
      <c r="F443" s="37"/>
      <c r="G443" s="37"/>
      <c r="H443" s="45"/>
      <c r="I443" s="37"/>
      <c r="J443" s="30"/>
      <c r="K443" s="30"/>
      <c r="L443" s="30"/>
      <c r="M443" s="37"/>
      <c r="N443" s="30"/>
      <c r="O443" s="4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  <c r="AA443" s="30"/>
    </row>
    <row r="444" ht="18.75" customHeight="1">
      <c r="A444" s="37"/>
      <c r="B444" s="30"/>
      <c r="C444" s="30"/>
      <c r="D444" s="1"/>
      <c r="E444" s="30"/>
      <c r="F444" s="37"/>
      <c r="G444" s="37"/>
      <c r="H444" s="45"/>
      <c r="I444" s="37"/>
      <c r="J444" s="30"/>
      <c r="K444" s="30"/>
      <c r="L444" s="30"/>
      <c r="M444" s="37"/>
      <c r="N444" s="30"/>
      <c r="O444" s="4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  <c r="AA444" s="30"/>
    </row>
    <row r="445" ht="18.75" customHeight="1">
      <c r="A445" s="37"/>
      <c r="B445" s="30"/>
      <c r="C445" s="30"/>
      <c r="D445" s="1"/>
      <c r="E445" s="30"/>
      <c r="F445" s="37"/>
      <c r="G445" s="37"/>
      <c r="H445" s="45"/>
      <c r="I445" s="37"/>
      <c r="J445" s="30"/>
      <c r="K445" s="30"/>
      <c r="L445" s="30"/>
      <c r="M445" s="37"/>
      <c r="N445" s="30"/>
      <c r="O445" s="4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  <c r="AA445" s="30"/>
    </row>
    <row r="446" ht="18.75" customHeight="1">
      <c r="A446" s="37"/>
      <c r="B446" s="30"/>
      <c r="C446" s="30"/>
      <c r="D446" s="1"/>
      <c r="E446" s="30"/>
      <c r="F446" s="37"/>
      <c r="G446" s="37"/>
      <c r="H446" s="45"/>
      <c r="I446" s="37"/>
      <c r="J446" s="30"/>
      <c r="K446" s="30"/>
      <c r="L446" s="30"/>
      <c r="M446" s="37"/>
      <c r="N446" s="30"/>
      <c r="O446" s="4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  <c r="AA446" s="30"/>
    </row>
    <row r="447" ht="18.75" customHeight="1">
      <c r="A447" s="37"/>
      <c r="B447" s="30"/>
      <c r="C447" s="30"/>
      <c r="D447" s="1"/>
      <c r="E447" s="30"/>
      <c r="F447" s="37"/>
      <c r="G447" s="37"/>
      <c r="H447" s="45"/>
      <c r="I447" s="37"/>
      <c r="J447" s="30"/>
      <c r="K447" s="30"/>
      <c r="L447" s="30"/>
      <c r="M447" s="37"/>
      <c r="N447" s="30"/>
      <c r="O447" s="4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  <c r="AA447" s="30"/>
    </row>
    <row r="448" ht="18.75" customHeight="1">
      <c r="A448" s="37"/>
      <c r="B448" s="30"/>
      <c r="C448" s="30"/>
      <c r="D448" s="1"/>
      <c r="E448" s="30"/>
      <c r="F448" s="37"/>
      <c r="G448" s="37"/>
      <c r="H448" s="45"/>
      <c r="I448" s="37"/>
      <c r="J448" s="30"/>
      <c r="K448" s="30"/>
      <c r="L448" s="30"/>
      <c r="M448" s="37"/>
      <c r="N448" s="30"/>
      <c r="O448" s="4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  <c r="AA448" s="30"/>
    </row>
    <row r="449" ht="18.75" customHeight="1">
      <c r="A449" s="37"/>
      <c r="B449" s="30"/>
      <c r="C449" s="30"/>
      <c r="D449" s="1"/>
      <c r="E449" s="30"/>
      <c r="F449" s="37"/>
      <c r="G449" s="37"/>
      <c r="H449" s="45"/>
      <c r="I449" s="37"/>
      <c r="J449" s="30"/>
      <c r="K449" s="30"/>
      <c r="L449" s="30"/>
      <c r="M449" s="37"/>
      <c r="N449" s="30"/>
      <c r="O449" s="4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  <c r="AA449" s="30"/>
    </row>
    <row r="450" ht="18.75" customHeight="1">
      <c r="A450" s="37"/>
      <c r="B450" s="30"/>
      <c r="C450" s="30"/>
      <c r="D450" s="1"/>
      <c r="E450" s="30"/>
      <c r="F450" s="37"/>
      <c r="G450" s="37"/>
      <c r="H450" s="45"/>
      <c r="I450" s="37"/>
      <c r="J450" s="30"/>
      <c r="K450" s="30"/>
      <c r="L450" s="30"/>
      <c r="M450" s="37"/>
      <c r="N450" s="30"/>
      <c r="O450" s="4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  <c r="AA450" s="30"/>
    </row>
    <row r="451" ht="18.75" customHeight="1">
      <c r="A451" s="37"/>
      <c r="B451" s="30"/>
      <c r="C451" s="30"/>
      <c r="D451" s="1"/>
      <c r="E451" s="30"/>
      <c r="F451" s="37"/>
      <c r="G451" s="37"/>
      <c r="H451" s="45"/>
      <c r="I451" s="37"/>
      <c r="J451" s="30"/>
      <c r="K451" s="30"/>
      <c r="L451" s="30"/>
      <c r="M451" s="37"/>
      <c r="N451" s="30"/>
      <c r="O451" s="4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  <c r="AA451" s="30"/>
    </row>
    <row r="452" ht="18.75" customHeight="1">
      <c r="A452" s="37"/>
      <c r="B452" s="30"/>
      <c r="C452" s="30"/>
      <c r="D452" s="1"/>
      <c r="E452" s="30"/>
      <c r="F452" s="37"/>
      <c r="G452" s="37"/>
      <c r="H452" s="45"/>
      <c r="I452" s="37"/>
      <c r="J452" s="30"/>
      <c r="K452" s="30"/>
      <c r="L452" s="30"/>
      <c r="M452" s="37"/>
      <c r="N452" s="30"/>
      <c r="O452" s="4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  <c r="AA452" s="30"/>
    </row>
    <row r="453" ht="18.75" customHeight="1">
      <c r="A453" s="37"/>
      <c r="B453" s="30"/>
      <c r="C453" s="30"/>
      <c r="D453" s="1"/>
      <c r="E453" s="30"/>
      <c r="F453" s="37"/>
      <c r="G453" s="37"/>
      <c r="H453" s="45"/>
      <c r="I453" s="37"/>
      <c r="J453" s="30"/>
      <c r="K453" s="30"/>
      <c r="L453" s="30"/>
      <c r="M453" s="37"/>
      <c r="N453" s="30"/>
      <c r="O453" s="4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  <c r="AA453" s="30"/>
    </row>
    <row r="454" ht="18.75" customHeight="1">
      <c r="A454" s="37"/>
      <c r="B454" s="30"/>
      <c r="C454" s="30"/>
      <c r="D454" s="1"/>
      <c r="E454" s="30"/>
      <c r="F454" s="37"/>
      <c r="G454" s="37"/>
      <c r="H454" s="45"/>
      <c r="I454" s="37"/>
      <c r="J454" s="30"/>
      <c r="K454" s="30"/>
      <c r="L454" s="30"/>
      <c r="M454" s="37"/>
      <c r="N454" s="30"/>
      <c r="O454" s="4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  <c r="AA454" s="30"/>
    </row>
    <row r="455" ht="18.75" customHeight="1">
      <c r="A455" s="37"/>
      <c r="B455" s="30"/>
      <c r="C455" s="30"/>
      <c r="D455" s="1"/>
      <c r="E455" s="30"/>
      <c r="F455" s="37"/>
      <c r="G455" s="37"/>
      <c r="H455" s="45"/>
      <c r="I455" s="37"/>
      <c r="J455" s="30"/>
      <c r="K455" s="30"/>
      <c r="L455" s="30"/>
      <c r="M455" s="37"/>
      <c r="N455" s="30"/>
      <c r="O455" s="4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  <c r="AA455" s="30"/>
    </row>
    <row r="456" ht="18.75" customHeight="1">
      <c r="A456" s="37"/>
      <c r="B456" s="30"/>
      <c r="C456" s="30"/>
      <c r="D456" s="1"/>
      <c r="E456" s="30"/>
      <c r="F456" s="37"/>
      <c r="G456" s="37"/>
      <c r="H456" s="45"/>
      <c r="I456" s="37"/>
      <c r="J456" s="30"/>
      <c r="K456" s="30"/>
      <c r="L456" s="30"/>
      <c r="M456" s="37"/>
      <c r="N456" s="30"/>
      <c r="O456" s="4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  <c r="AA456" s="30"/>
    </row>
    <row r="457" ht="18.75" customHeight="1">
      <c r="A457" s="37"/>
      <c r="B457" s="30"/>
      <c r="C457" s="30"/>
      <c r="D457" s="1"/>
      <c r="E457" s="30"/>
      <c r="F457" s="37"/>
      <c r="G457" s="37"/>
      <c r="H457" s="45"/>
      <c r="I457" s="37"/>
      <c r="J457" s="30"/>
      <c r="K457" s="30"/>
      <c r="L457" s="30"/>
      <c r="M457" s="37"/>
      <c r="N457" s="30"/>
      <c r="O457" s="4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  <c r="AA457" s="30"/>
    </row>
    <row r="458" ht="18.75" customHeight="1">
      <c r="A458" s="37"/>
      <c r="B458" s="30"/>
      <c r="C458" s="30"/>
      <c r="D458" s="1"/>
      <c r="E458" s="30"/>
      <c r="F458" s="37"/>
      <c r="G458" s="37"/>
      <c r="H458" s="45"/>
      <c r="I458" s="37"/>
      <c r="J458" s="30"/>
      <c r="K458" s="30"/>
      <c r="L458" s="30"/>
      <c r="M458" s="37"/>
      <c r="N458" s="30"/>
      <c r="O458" s="4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  <c r="AA458" s="30"/>
    </row>
    <row r="459" ht="18.75" customHeight="1">
      <c r="A459" s="37"/>
      <c r="B459" s="30"/>
      <c r="C459" s="30"/>
      <c r="D459" s="1"/>
      <c r="E459" s="30"/>
      <c r="F459" s="37"/>
      <c r="G459" s="37"/>
      <c r="H459" s="45"/>
      <c r="I459" s="37"/>
      <c r="J459" s="30"/>
      <c r="K459" s="30"/>
      <c r="L459" s="30"/>
      <c r="M459" s="37"/>
      <c r="N459" s="30"/>
      <c r="O459" s="4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  <c r="AA459" s="30"/>
    </row>
    <row r="460" ht="18.75" customHeight="1">
      <c r="A460" s="37"/>
      <c r="B460" s="30"/>
      <c r="C460" s="30"/>
      <c r="D460" s="1"/>
      <c r="E460" s="30"/>
      <c r="F460" s="37"/>
      <c r="G460" s="37"/>
      <c r="H460" s="45"/>
      <c r="I460" s="37"/>
      <c r="J460" s="30"/>
      <c r="K460" s="30"/>
      <c r="L460" s="30"/>
      <c r="M460" s="37"/>
      <c r="N460" s="30"/>
      <c r="O460" s="4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  <c r="AA460" s="30"/>
    </row>
    <row r="461" ht="18.75" customHeight="1">
      <c r="A461" s="37"/>
      <c r="B461" s="30"/>
      <c r="C461" s="30"/>
      <c r="D461" s="1"/>
      <c r="E461" s="30"/>
      <c r="F461" s="37"/>
      <c r="G461" s="37"/>
      <c r="H461" s="45"/>
      <c r="I461" s="37"/>
      <c r="J461" s="30"/>
      <c r="K461" s="30"/>
      <c r="L461" s="30"/>
      <c r="M461" s="37"/>
      <c r="N461" s="30"/>
      <c r="O461" s="4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  <c r="AA461" s="30"/>
    </row>
    <row r="462" ht="18.75" customHeight="1">
      <c r="A462" s="37"/>
      <c r="B462" s="30"/>
      <c r="C462" s="30"/>
      <c r="D462" s="1"/>
      <c r="E462" s="30"/>
      <c r="F462" s="37"/>
      <c r="G462" s="37"/>
      <c r="H462" s="45"/>
      <c r="I462" s="37"/>
      <c r="J462" s="30"/>
      <c r="K462" s="30"/>
      <c r="L462" s="30"/>
      <c r="M462" s="37"/>
      <c r="N462" s="30"/>
      <c r="O462" s="4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  <c r="AA462" s="30"/>
    </row>
    <row r="463" ht="18.75" customHeight="1">
      <c r="A463" s="37"/>
      <c r="B463" s="30"/>
      <c r="C463" s="30"/>
      <c r="D463" s="1"/>
      <c r="E463" s="30"/>
      <c r="F463" s="37"/>
      <c r="G463" s="37"/>
      <c r="H463" s="45"/>
      <c r="I463" s="37"/>
      <c r="J463" s="30"/>
      <c r="K463" s="30"/>
      <c r="L463" s="30"/>
      <c r="M463" s="37"/>
      <c r="N463" s="30"/>
      <c r="O463" s="4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  <c r="AA463" s="30"/>
    </row>
    <row r="464" ht="18.75" customHeight="1">
      <c r="A464" s="37"/>
      <c r="B464" s="30"/>
      <c r="C464" s="30"/>
      <c r="D464" s="1"/>
      <c r="E464" s="30"/>
      <c r="F464" s="37"/>
      <c r="G464" s="37"/>
      <c r="H464" s="45"/>
      <c r="I464" s="37"/>
      <c r="J464" s="30"/>
      <c r="K464" s="30"/>
      <c r="L464" s="30"/>
      <c r="M464" s="37"/>
      <c r="N464" s="30"/>
      <c r="O464" s="4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  <c r="AA464" s="30"/>
    </row>
    <row r="465" ht="18.75" customHeight="1">
      <c r="A465" s="37"/>
      <c r="B465" s="30"/>
      <c r="C465" s="30"/>
      <c r="D465" s="1"/>
      <c r="E465" s="30"/>
      <c r="F465" s="37"/>
      <c r="G465" s="37"/>
      <c r="H465" s="45"/>
      <c r="I465" s="37"/>
      <c r="J465" s="30"/>
      <c r="K465" s="30"/>
      <c r="L465" s="30"/>
      <c r="M465" s="37"/>
      <c r="N465" s="30"/>
      <c r="O465" s="4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  <c r="AA465" s="30"/>
    </row>
    <row r="466" ht="18.75" customHeight="1">
      <c r="A466" s="37"/>
      <c r="B466" s="30"/>
      <c r="C466" s="30"/>
      <c r="D466" s="1"/>
      <c r="E466" s="30"/>
      <c r="F466" s="37"/>
      <c r="G466" s="37"/>
      <c r="H466" s="45"/>
      <c r="I466" s="37"/>
      <c r="J466" s="30"/>
      <c r="K466" s="30"/>
      <c r="L466" s="30"/>
      <c r="M466" s="37"/>
      <c r="N466" s="30"/>
      <c r="O466" s="4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  <c r="AA466" s="30"/>
    </row>
    <row r="467" ht="18.75" customHeight="1">
      <c r="A467" s="37"/>
      <c r="B467" s="30"/>
      <c r="C467" s="30"/>
      <c r="D467" s="1"/>
      <c r="E467" s="30"/>
      <c r="F467" s="37"/>
      <c r="G467" s="37"/>
      <c r="H467" s="45"/>
      <c r="I467" s="37"/>
      <c r="J467" s="30"/>
      <c r="K467" s="30"/>
      <c r="L467" s="30"/>
      <c r="M467" s="37"/>
      <c r="N467" s="30"/>
      <c r="O467" s="4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  <c r="AA467" s="30"/>
    </row>
    <row r="468" ht="18.75" customHeight="1">
      <c r="A468" s="37"/>
      <c r="B468" s="30"/>
      <c r="C468" s="30"/>
      <c r="D468" s="1"/>
      <c r="E468" s="30"/>
      <c r="F468" s="37"/>
      <c r="G468" s="37"/>
      <c r="H468" s="45"/>
      <c r="I468" s="37"/>
      <c r="J468" s="30"/>
      <c r="K468" s="30"/>
      <c r="L468" s="30"/>
      <c r="M468" s="37"/>
      <c r="N468" s="30"/>
      <c r="O468" s="4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  <c r="AA468" s="30"/>
    </row>
    <row r="469" ht="18.75" customHeight="1">
      <c r="A469" s="37"/>
      <c r="B469" s="30"/>
      <c r="C469" s="30"/>
      <c r="D469" s="1"/>
      <c r="E469" s="30"/>
      <c r="F469" s="37"/>
      <c r="G469" s="37"/>
      <c r="H469" s="45"/>
      <c r="I469" s="37"/>
      <c r="J469" s="30"/>
      <c r="K469" s="30"/>
      <c r="L469" s="30"/>
      <c r="M469" s="37"/>
      <c r="N469" s="30"/>
      <c r="O469" s="4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  <c r="AA469" s="30"/>
    </row>
    <row r="470" ht="18.75" customHeight="1">
      <c r="A470" s="37"/>
      <c r="B470" s="30"/>
      <c r="C470" s="30"/>
      <c r="D470" s="1"/>
      <c r="E470" s="30"/>
      <c r="F470" s="37"/>
      <c r="G470" s="37"/>
      <c r="H470" s="45"/>
      <c r="I470" s="37"/>
      <c r="J470" s="30"/>
      <c r="K470" s="30"/>
      <c r="L470" s="30"/>
      <c r="M470" s="37"/>
      <c r="N470" s="30"/>
      <c r="O470" s="4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  <c r="AA470" s="30"/>
    </row>
    <row r="471" ht="18.75" customHeight="1">
      <c r="A471" s="37"/>
      <c r="B471" s="30"/>
      <c r="C471" s="30"/>
      <c r="D471" s="1"/>
      <c r="E471" s="30"/>
      <c r="F471" s="37"/>
      <c r="G471" s="37"/>
      <c r="H471" s="45"/>
      <c r="I471" s="37"/>
      <c r="J471" s="30"/>
      <c r="K471" s="30"/>
      <c r="L471" s="30"/>
      <c r="M471" s="37"/>
      <c r="N471" s="30"/>
      <c r="O471" s="4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  <c r="AA471" s="30"/>
    </row>
    <row r="472" ht="18.75" customHeight="1">
      <c r="A472" s="37"/>
      <c r="B472" s="30"/>
      <c r="C472" s="30"/>
      <c r="D472" s="1"/>
      <c r="E472" s="30"/>
      <c r="F472" s="37"/>
      <c r="G472" s="37"/>
      <c r="H472" s="45"/>
      <c r="I472" s="37"/>
      <c r="J472" s="30"/>
      <c r="K472" s="30"/>
      <c r="L472" s="30"/>
      <c r="M472" s="37"/>
      <c r="N472" s="30"/>
      <c r="O472" s="4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  <c r="AA472" s="30"/>
    </row>
    <row r="473" ht="18.75" customHeight="1">
      <c r="A473" s="37"/>
      <c r="B473" s="30"/>
      <c r="C473" s="30"/>
      <c r="D473" s="1"/>
      <c r="E473" s="30"/>
      <c r="F473" s="37"/>
      <c r="G473" s="37"/>
      <c r="H473" s="45"/>
      <c r="I473" s="37"/>
      <c r="J473" s="30"/>
      <c r="K473" s="30"/>
      <c r="L473" s="30"/>
      <c r="M473" s="37"/>
      <c r="N473" s="30"/>
      <c r="O473" s="4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  <c r="AA473" s="30"/>
    </row>
    <row r="474" ht="18.75" customHeight="1">
      <c r="A474" s="37"/>
      <c r="B474" s="30"/>
      <c r="C474" s="30"/>
      <c r="D474" s="1"/>
      <c r="E474" s="30"/>
      <c r="F474" s="37"/>
      <c r="G474" s="37"/>
      <c r="H474" s="45"/>
      <c r="I474" s="37"/>
      <c r="J474" s="30"/>
      <c r="K474" s="30"/>
      <c r="L474" s="30"/>
      <c r="M474" s="37"/>
      <c r="N474" s="30"/>
      <c r="O474" s="4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  <c r="AA474" s="30"/>
    </row>
    <row r="475" ht="18.75" customHeight="1">
      <c r="A475" s="37"/>
      <c r="B475" s="30"/>
      <c r="C475" s="30"/>
      <c r="D475" s="1"/>
      <c r="E475" s="30"/>
      <c r="F475" s="37"/>
      <c r="G475" s="37"/>
      <c r="H475" s="45"/>
      <c r="I475" s="37"/>
      <c r="J475" s="30"/>
      <c r="K475" s="30"/>
      <c r="L475" s="30"/>
      <c r="M475" s="37"/>
      <c r="N475" s="30"/>
      <c r="O475" s="4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  <c r="AA475" s="30"/>
    </row>
    <row r="476" ht="18.75" customHeight="1">
      <c r="A476" s="37"/>
      <c r="B476" s="30"/>
      <c r="C476" s="30"/>
      <c r="D476" s="1"/>
      <c r="E476" s="30"/>
      <c r="F476" s="37"/>
      <c r="G476" s="37"/>
      <c r="H476" s="45"/>
      <c r="I476" s="37"/>
      <c r="J476" s="30"/>
      <c r="K476" s="30"/>
      <c r="L476" s="30"/>
      <c r="M476" s="37"/>
      <c r="N476" s="30"/>
      <c r="O476" s="4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  <c r="AA476" s="30"/>
    </row>
    <row r="477" ht="18.75" customHeight="1">
      <c r="A477" s="37"/>
      <c r="B477" s="30"/>
      <c r="C477" s="30"/>
      <c r="D477" s="1"/>
      <c r="E477" s="30"/>
      <c r="F477" s="37"/>
      <c r="G477" s="37"/>
      <c r="H477" s="45"/>
      <c r="I477" s="37"/>
      <c r="J477" s="30"/>
      <c r="K477" s="30"/>
      <c r="L477" s="30"/>
      <c r="M477" s="37"/>
      <c r="N477" s="30"/>
      <c r="O477" s="4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  <c r="AA477" s="30"/>
    </row>
    <row r="478" ht="18.75" customHeight="1">
      <c r="A478" s="37"/>
      <c r="B478" s="30"/>
      <c r="C478" s="30"/>
      <c r="D478" s="1"/>
      <c r="E478" s="30"/>
      <c r="F478" s="37"/>
      <c r="G478" s="37"/>
      <c r="H478" s="45"/>
      <c r="I478" s="37"/>
      <c r="J478" s="30"/>
      <c r="K478" s="30"/>
      <c r="L478" s="30"/>
      <c r="M478" s="37"/>
      <c r="N478" s="30"/>
      <c r="O478" s="4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  <c r="AA478" s="30"/>
    </row>
    <row r="479" ht="18.75" customHeight="1">
      <c r="A479" s="37"/>
      <c r="B479" s="30"/>
      <c r="C479" s="30"/>
      <c r="D479" s="1"/>
      <c r="E479" s="30"/>
      <c r="F479" s="37"/>
      <c r="G479" s="37"/>
      <c r="H479" s="45"/>
      <c r="I479" s="37"/>
      <c r="J479" s="30"/>
      <c r="K479" s="30"/>
      <c r="L479" s="30"/>
      <c r="M479" s="37"/>
      <c r="N479" s="30"/>
      <c r="O479" s="4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  <c r="AA479" s="30"/>
    </row>
    <row r="480" ht="18.75" customHeight="1">
      <c r="A480" s="37"/>
      <c r="B480" s="30"/>
      <c r="C480" s="30"/>
      <c r="D480" s="1"/>
      <c r="E480" s="30"/>
      <c r="F480" s="37"/>
      <c r="G480" s="37"/>
      <c r="H480" s="45"/>
      <c r="I480" s="37"/>
      <c r="J480" s="30"/>
      <c r="K480" s="30"/>
      <c r="L480" s="30"/>
      <c r="M480" s="37"/>
      <c r="N480" s="30"/>
      <c r="O480" s="4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  <c r="AA480" s="30"/>
    </row>
    <row r="481" ht="18.75" customHeight="1">
      <c r="A481" s="37"/>
      <c r="B481" s="30"/>
      <c r="C481" s="30"/>
      <c r="D481" s="1"/>
      <c r="E481" s="30"/>
      <c r="F481" s="37"/>
      <c r="G481" s="37"/>
      <c r="H481" s="45"/>
      <c r="I481" s="37"/>
      <c r="J481" s="30"/>
      <c r="K481" s="30"/>
      <c r="L481" s="30"/>
      <c r="M481" s="37"/>
      <c r="N481" s="30"/>
      <c r="O481" s="4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  <c r="AA481" s="30"/>
    </row>
    <row r="482" ht="18.75" customHeight="1">
      <c r="A482" s="37"/>
      <c r="B482" s="30"/>
      <c r="C482" s="30"/>
      <c r="D482" s="1"/>
      <c r="E482" s="30"/>
      <c r="F482" s="37"/>
      <c r="G482" s="37"/>
      <c r="H482" s="45"/>
      <c r="I482" s="37"/>
      <c r="J482" s="30"/>
      <c r="K482" s="30"/>
      <c r="L482" s="30"/>
      <c r="M482" s="37"/>
      <c r="N482" s="30"/>
      <c r="O482" s="4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  <c r="AA482" s="30"/>
    </row>
    <row r="483" ht="18.75" customHeight="1">
      <c r="A483" s="37"/>
      <c r="B483" s="30"/>
      <c r="C483" s="30"/>
      <c r="D483" s="1"/>
      <c r="E483" s="30"/>
      <c r="F483" s="37"/>
      <c r="G483" s="37"/>
      <c r="H483" s="45"/>
      <c r="I483" s="37"/>
      <c r="J483" s="30"/>
      <c r="K483" s="30"/>
      <c r="L483" s="30"/>
      <c r="M483" s="37"/>
      <c r="N483" s="30"/>
      <c r="O483" s="4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  <c r="AA483" s="30"/>
    </row>
    <row r="484" ht="18.75" customHeight="1">
      <c r="A484" s="37"/>
      <c r="B484" s="30"/>
      <c r="C484" s="30"/>
      <c r="D484" s="1"/>
      <c r="E484" s="30"/>
      <c r="F484" s="37"/>
      <c r="G484" s="37"/>
      <c r="H484" s="45"/>
      <c r="I484" s="37"/>
      <c r="J484" s="30"/>
      <c r="K484" s="30"/>
      <c r="L484" s="30"/>
      <c r="M484" s="37"/>
      <c r="N484" s="30"/>
      <c r="O484" s="4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  <c r="AA484" s="30"/>
    </row>
    <row r="485" ht="18.75" customHeight="1">
      <c r="A485" s="37"/>
      <c r="B485" s="30"/>
      <c r="C485" s="30"/>
      <c r="D485" s="1"/>
      <c r="E485" s="30"/>
      <c r="F485" s="37"/>
      <c r="G485" s="37"/>
      <c r="H485" s="45"/>
      <c r="I485" s="37"/>
      <c r="J485" s="30"/>
      <c r="K485" s="30"/>
      <c r="L485" s="30"/>
      <c r="M485" s="37"/>
      <c r="N485" s="30"/>
      <c r="O485" s="4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  <c r="AA485" s="30"/>
    </row>
    <row r="486" ht="18.75" customHeight="1">
      <c r="A486" s="37"/>
      <c r="B486" s="30"/>
      <c r="C486" s="30"/>
      <c r="D486" s="1"/>
      <c r="E486" s="30"/>
      <c r="F486" s="37"/>
      <c r="G486" s="37"/>
      <c r="H486" s="45"/>
      <c r="I486" s="37"/>
      <c r="J486" s="30"/>
      <c r="K486" s="30"/>
      <c r="L486" s="30"/>
      <c r="M486" s="37"/>
      <c r="N486" s="30"/>
      <c r="O486" s="4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  <c r="AA486" s="30"/>
    </row>
    <row r="487" ht="18.75" customHeight="1">
      <c r="A487" s="37"/>
      <c r="B487" s="30"/>
      <c r="C487" s="30"/>
      <c r="D487" s="1"/>
      <c r="E487" s="30"/>
      <c r="F487" s="37"/>
      <c r="G487" s="37"/>
      <c r="H487" s="45"/>
      <c r="I487" s="37"/>
      <c r="J487" s="30"/>
      <c r="K487" s="30"/>
      <c r="L487" s="30"/>
      <c r="M487" s="37"/>
      <c r="N487" s="30"/>
      <c r="O487" s="4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  <c r="AA487" s="30"/>
    </row>
    <row r="488" ht="18.75" customHeight="1">
      <c r="A488" s="37"/>
      <c r="B488" s="30"/>
      <c r="C488" s="30"/>
      <c r="D488" s="1"/>
      <c r="E488" s="30"/>
      <c r="F488" s="37"/>
      <c r="G488" s="37"/>
      <c r="H488" s="45"/>
      <c r="I488" s="37"/>
      <c r="J488" s="30"/>
      <c r="K488" s="30"/>
      <c r="L488" s="30"/>
      <c r="M488" s="37"/>
      <c r="N488" s="30"/>
      <c r="O488" s="4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  <c r="AA488" s="30"/>
    </row>
    <row r="489" ht="18.75" customHeight="1">
      <c r="A489" s="37"/>
      <c r="B489" s="30"/>
      <c r="C489" s="30"/>
      <c r="D489" s="1"/>
      <c r="E489" s="30"/>
      <c r="F489" s="37"/>
      <c r="G489" s="37"/>
      <c r="H489" s="45"/>
      <c r="I489" s="37"/>
      <c r="J489" s="30"/>
      <c r="K489" s="30"/>
      <c r="L489" s="30"/>
      <c r="M489" s="37"/>
      <c r="N489" s="30"/>
      <c r="O489" s="4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  <c r="AA489" s="30"/>
    </row>
    <row r="490" ht="18.75" customHeight="1">
      <c r="A490" s="37"/>
      <c r="B490" s="30"/>
      <c r="C490" s="30"/>
      <c r="D490" s="1"/>
      <c r="E490" s="30"/>
      <c r="F490" s="37"/>
      <c r="G490" s="37"/>
      <c r="H490" s="45"/>
      <c r="I490" s="37"/>
      <c r="J490" s="30"/>
      <c r="K490" s="30"/>
      <c r="L490" s="30"/>
      <c r="M490" s="37"/>
      <c r="N490" s="30"/>
      <c r="O490" s="4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  <c r="AA490" s="30"/>
    </row>
    <row r="491" ht="18.75" customHeight="1">
      <c r="A491" s="37"/>
      <c r="B491" s="30"/>
      <c r="C491" s="30"/>
      <c r="D491" s="1"/>
      <c r="E491" s="30"/>
      <c r="F491" s="37"/>
      <c r="G491" s="37"/>
      <c r="H491" s="45"/>
      <c r="I491" s="37"/>
      <c r="J491" s="30"/>
      <c r="K491" s="30"/>
      <c r="L491" s="30"/>
      <c r="M491" s="37"/>
      <c r="N491" s="30"/>
      <c r="O491" s="4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  <c r="AA491" s="30"/>
    </row>
    <row r="492" ht="18.75" customHeight="1">
      <c r="A492" s="37"/>
      <c r="B492" s="30"/>
      <c r="C492" s="30"/>
      <c r="D492" s="1"/>
      <c r="E492" s="30"/>
      <c r="F492" s="37"/>
      <c r="G492" s="37"/>
      <c r="H492" s="45"/>
      <c r="I492" s="37"/>
      <c r="J492" s="30"/>
      <c r="K492" s="30"/>
      <c r="L492" s="30"/>
      <c r="M492" s="37"/>
      <c r="N492" s="30"/>
      <c r="O492" s="4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  <c r="AA492" s="30"/>
    </row>
    <row r="493" ht="18.75" customHeight="1">
      <c r="A493" s="37"/>
      <c r="B493" s="30"/>
      <c r="C493" s="30"/>
      <c r="D493" s="1"/>
      <c r="E493" s="30"/>
      <c r="F493" s="37"/>
      <c r="G493" s="37"/>
      <c r="H493" s="45"/>
      <c r="I493" s="37"/>
      <c r="J493" s="30"/>
      <c r="K493" s="30"/>
      <c r="L493" s="30"/>
      <c r="M493" s="37"/>
      <c r="N493" s="30"/>
      <c r="O493" s="4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  <c r="AA493" s="30"/>
    </row>
    <row r="494" ht="18.75" customHeight="1">
      <c r="A494" s="37"/>
      <c r="B494" s="30"/>
      <c r="C494" s="30"/>
      <c r="D494" s="1"/>
      <c r="E494" s="30"/>
      <c r="F494" s="37"/>
      <c r="G494" s="37"/>
      <c r="H494" s="45"/>
      <c r="I494" s="37"/>
      <c r="J494" s="30"/>
      <c r="K494" s="30"/>
      <c r="L494" s="30"/>
      <c r="M494" s="37"/>
      <c r="N494" s="30"/>
      <c r="O494" s="4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  <c r="AA494" s="30"/>
    </row>
    <row r="495" ht="18.75" customHeight="1">
      <c r="A495" s="37"/>
      <c r="B495" s="30"/>
      <c r="C495" s="30"/>
      <c r="D495" s="1"/>
      <c r="E495" s="30"/>
      <c r="F495" s="37"/>
      <c r="G495" s="37"/>
      <c r="H495" s="45"/>
      <c r="I495" s="37"/>
      <c r="J495" s="30"/>
      <c r="K495" s="30"/>
      <c r="L495" s="30"/>
      <c r="M495" s="37"/>
      <c r="N495" s="30"/>
      <c r="O495" s="4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  <c r="AA495" s="30"/>
    </row>
    <row r="496" ht="18.75" customHeight="1">
      <c r="A496" s="37"/>
      <c r="B496" s="30"/>
      <c r="C496" s="30"/>
      <c r="D496" s="1"/>
      <c r="E496" s="30"/>
      <c r="F496" s="37"/>
      <c r="G496" s="37"/>
      <c r="H496" s="45"/>
      <c r="I496" s="37"/>
      <c r="J496" s="30"/>
      <c r="K496" s="30"/>
      <c r="L496" s="30"/>
      <c r="M496" s="37"/>
      <c r="N496" s="30"/>
      <c r="O496" s="4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  <c r="AA496" s="30"/>
    </row>
    <row r="497" ht="18.75" customHeight="1">
      <c r="A497" s="37"/>
      <c r="B497" s="30"/>
      <c r="C497" s="30"/>
      <c r="D497" s="1"/>
      <c r="E497" s="30"/>
      <c r="F497" s="37"/>
      <c r="G497" s="37"/>
      <c r="H497" s="45"/>
      <c r="I497" s="37"/>
      <c r="J497" s="30"/>
      <c r="K497" s="30"/>
      <c r="L497" s="30"/>
      <c r="M497" s="37"/>
      <c r="N497" s="30"/>
      <c r="O497" s="4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  <c r="AA497" s="30"/>
    </row>
    <row r="498" ht="18.75" customHeight="1">
      <c r="A498" s="37"/>
      <c r="B498" s="30"/>
      <c r="C498" s="30"/>
      <c r="D498" s="1"/>
      <c r="E498" s="30"/>
      <c r="F498" s="37"/>
      <c r="G498" s="37"/>
      <c r="H498" s="45"/>
      <c r="I498" s="37"/>
      <c r="J498" s="30"/>
      <c r="K498" s="30"/>
      <c r="L498" s="30"/>
      <c r="M498" s="37"/>
      <c r="N498" s="30"/>
      <c r="O498" s="4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  <c r="AA498" s="30"/>
    </row>
    <row r="499" ht="18.75" customHeight="1">
      <c r="A499" s="37"/>
      <c r="B499" s="30"/>
      <c r="C499" s="30"/>
      <c r="D499" s="1"/>
      <c r="E499" s="30"/>
      <c r="F499" s="37"/>
      <c r="G499" s="37"/>
      <c r="H499" s="45"/>
      <c r="I499" s="37"/>
      <c r="J499" s="30"/>
      <c r="K499" s="30"/>
      <c r="L499" s="30"/>
      <c r="M499" s="37"/>
      <c r="N499" s="30"/>
      <c r="O499" s="4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  <c r="AA499" s="30"/>
    </row>
    <row r="500" ht="18.75" customHeight="1">
      <c r="A500" s="37"/>
      <c r="B500" s="30"/>
      <c r="C500" s="30"/>
      <c r="D500" s="1"/>
      <c r="E500" s="30"/>
      <c r="F500" s="37"/>
      <c r="G500" s="37"/>
      <c r="H500" s="45"/>
      <c r="I500" s="37"/>
      <c r="J500" s="30"/>
      <c r="K500" s="30"/>
      <c r="L500" s="30"/>
      <c r="M500" s="37"/>
      <c r="N500" s="30"/>
      <c r="O500" s="4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  <c r="AA500" s="30"/>
    </row>
    <row r="501" ht="18.75" customHeight="1">
      <c r="A501" s="37"/>
      <c r="B501" s="30"/>
      <c r="C501" s="30"/>
      <c r="D501" s="1"/>
      <c r="E501" s="30"/>
      <c r="F501" s="37"/>
      <c r="G501" s="37"/>
      <c r="H501" s="45"/>
      <c r="I501" s="37"/>
      <c r="J501" s="30"/>
      <c r="K501" s="30"/>
      <c r="L501" s="30"/>
      <c r="M501" s="37"/>
      <c r="N501" s="30"/>
      <c r="O501" s="4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  <c r="AA501" s="30"/>
    </row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18.29"/>
    <col customWidth="1" min="3" max="3" width="22.43"/>
    <col customWidth="1" min="4" max="5" width="8.86"/>
    <col customWidth="1" min="6" max="6" width="17.86"/>
    <col customWidth="1" min="7" max="7" width="16.0"/>
    <col customWidth="1" min="8" max="9" width="8.86"/>
    <col customWidth="1" min="10" max="10" width="18.29"/>
    <col customWidth="1" min="11" max="11" width="23.0"/>
    <col customWidth="1" min="12" max="12" width="25.71"/>
    <col customWidth="1" min="13" max="13" width="8.86"/>
    <col customWidth="1" min="14" max="14" width="26.29"/>
    <col customWidth="1" min="15" max="15" width="25.29"/>
    <col customWidth="1" min="16" max="17" width="19.29"/>
    <col customWidth="1" min="18" max="18" width="25.0"/>
    <col customWidth="1" min="19" max="20" width="8.86"/>
    <col customWidth="1" min="21" max="21" width="18.0"/>
    <col customWidth="1" min="22" max="22" width="16.71"/>
  </cols>
  <sheetData>
    <row r="1" ht="18.75" customHeight="1">
      <c r="A1" s="1"/>
      <c r="B1" s="1"/>
      <c r="C1" s="46"/>
      <c r="D1" s="1"/>
      <c r="E1" s="1"/>
      <c r="F1" s="1"/>
      <c r="G1" s="46"/>
      <c r="H1" s="1"/>
      <c r="I1" s="1"/>
      <c r="J1" s="46"/>
      <c r="K1" s="46"/>
      <c r="L1" s="46"/>
      <c r="M1" s="1"/>
      <c r="N1" s="47"/>
      <c r="O1" s="46"/>
      <c r="P1" s="1"/>
      <c r="Q1" s="1"/>
      <c r="R1" s="46"/>
      <c r="S1" s="1"/>
      <c r="T1" s="1"/>
      <c r="U1" s="1"/>
      <c r="V1" s="43"/>
    </row>
    <row r="2" ht="18.75" customHeight="1">
      <c r="A2" s="1"/>
      <c r="B2" s="32" t="s">
        <v>392</v>
      </c>
      <c r="C2" s="48"/>
      <c r="D2" s="1"/>
      <c r="E2" s="1"/>
      <c r="F2" s="32" t="s">
        <v>393</v>
      </c>
      <c r="G2" s="46"/>
      <c r="H2" s="1"/>
      <c r="I2" s="1"/>
      <c r="J2" s="48" t="s">
        <v>394</v>
      </c>
      <c r="K2" s="48"/>
      <c r="L2" s="46"/>
      <c r="M2" s="1"/>
      <c r="N2" s="49" t="s">
        <v>395</v>
      </c>
      <c r="O2" s="48"/>
      <c r="P2" s="32"/>
      <c r="Q2" s="32" t="s">
        <v>396</v>
      </c>
      <c r="R2" s="48"/>
      <c r="S2" s="32"/>
      <c r="T2" s="32"/>
      <c r="U2" s="32" t="s">
        <v>56</v>
      </c>
      <c r="V2" s="43"/>
    </row>
    <row r="3" ht="18.75" customHeight="1">
      <c r="A3" s="1"/>
      <c r="B3" s="32" t="s">
        <v>397</v>
      </c>
      <c r="C3" s="48"/>
      <c r="D3" s="1"/>
      <c r="E3" s="1"/>
      <c r="F3" s="32" t="s">
        <v>398</v>
      </c>
      <c r="G3" s="46"/>
      <c r="H3" s="1"/>
      <c r="I3" s="1"/>
      <c r="J3" s="48" t="s">
        <v>399</v>
      </c>
      <c r="K3" s="48"/>
      <c r="L3" s="46"/>
      <c r="M3" s="1"/>
      <c r="N3" s="49" t="s">
        <v>400</v>
      </c>
      <c r="O3" s="48"/>
      <c r="P3" s="32"/>
      <c r="Q3" s="32" t="s">
        <v>401</v>
      </c>
      <c r="R3" s="48"/>
      <c r="S3" s="32"/>
      <c r="T3" s="32"/>
      <c r="U3" s="1"/>
      <c r="V3" s="43"/>
    </row>
    <row r="4" ht="18.75" customHeight="1">
      <c r="A4" s="1"/>
      <c r="B4" s="1"/>
      <c r="C4" s="46"/>
      <c r="D4" s="1"/>
      <c r="E4" s="1"/>
      <c r="F4" s="32" t="s">
        <v>402</v>
      </c>
      <c r="G4" s="46"/>
      <c r="H4" s="1"/>
      <c r="I4" s="1"/>
      <c r="J4" s="48" t="s">
        <v>403</v>
      </c>
      <c r="K4" s="48"/>
      <c r="L4" s="46"/>
      <c r="M4" s="1"/>
      <c r="N4" s="49" t="s">
        <v>404</v>
      </c>
      <c r="O4" s="48"/>
      <c r="P4" s="32"/>
      <c r="Q4" s="32"/>
      <c r="R4" s="48"/>
      <c r="S4" s="32"/>
      <c r="T4" s="1"/>
      <c r="U4" s="30" t="s">
        <v>64</v>
      </c>
      <c r="V4" s="40" t="s">
        <v>405</v>
      </c>
    </row>
    <row r="5" ht="18.75" customHeight="1">
      <c r="A5" s="1"/>
      <c r="B5" s="30" t="s">
        <v>64</v>
      </c>
      <c r="C5" s="37" t="s">
        <v>406</v>
      </c>
      <c r="D5" s="1"/>
      <c r="E5" s="1"/>
      <c r="F5" s="1"/>
      <c r="G5" s="46"/>
      <c r="H5" s="1"/>
      <c r="I5" s="1"/>
      <c r="J5" s="46"/>
      <c r="K5" s="46"/>
      <c r="L5" s="46"/>
      <c r="M5" s="1"/>
      <c r="N5" s="47"/>
      <c r="O5" s="46"/>
      <c r="P5" s="1"/>
      <c r="Q5" s="30" t="s">
        <v>64</v>
      </c>
      <c r="R5" s="37" t="s">
        <v>407</v>
      </c>
      <c r="S5" s="1"/>
      <c r="T5" s="1"/>
      <c r="U5" s="50" t="s">
        <v>154</v>
      </c>
      <c r="V5" s="51">
        <v>6.666666666666667</v>
      </c>
    </row>
    <row r="6" ht="18.75" customHeight="1">
      <c r="A6" s="1"/>
      <c r="B6" s="52" t="s">
        <v>79</v>
      </c>
      <c r="C6" s="53">
        <v>55.0</v>
      </c>
      <c r="D6" s="1"/>
      <c r="E6" s="1"/>
      <c r="F6" s="30" t="s">
        <v>62</v>
      </c>
      <c r="G6" s="37" t="s">
        <v>408</v>
      </c>
      <c r="H6" s="1"/>
      <c r="I6" s="1"/>
      <c r="J6" s="48" t="s">
        <v>409</v>
      </c>
      <c r="K6" s="48"/>
      <c r="L6" s="48"/>
      <c r="M6" s="1"/>
      <c r="N6" s="49" t="s">
        <v>410</v>
      </c>
      <c r="O6" s="54">
        <f>O34/O79</f>
        <v>0.08333333333</v>
      </c>
      <c r="P6" s="1"/>
      <c r="Q6" s="55" t="s">
        <v>79</v>
      </c>
      <c r="R6" s="56">
        <v>34561.0</v>
      </c>
      <c r="S6" s="1"/>
      <c r="T6" s="1"/>
      <c r="U6" s="50" t="s">
        <v>125</v>
      </c>
      <c r="V6" s="51">
        <v>8.857142857142858</v>
      </c>
    </row>
    <row r="7" ht="18.75" customHeight="1">
      <c r="A7" s="1"/>
      <c r="B7" s="50" t="s">
        <v>74</v>
      </c>
      <c r="C7" s="57">
        <v>35.0</v>
      </c>
      <c r="D7" s="1"/>
      <c r="E7" s="1"/>
      <c r="F7" s="50" t="s">
        <v>77</v>
      </c>
      <c r="G7" s="57">
        <v>28.0</v>
      </c>
      <c r="H7" s="1"/>
      <c r="I7" s="1"/>
      <c r="J7" s="48" t="s">
        <v>411</v>
      </c>
      <c r="K7" s="48"/>
      <c r="L7" s="48"/>
      <c r="M7" s="1"/>
      <c r="N7" s="47"/>
      <c r="O7" s="46"/>
      <c r="P7" s="1"/>
      <c r="Q7" s="50" t="s">
        <v>74</v>
      </c>
      <c r="R7" s="57">
        <v>19406.0</v>
      </c>
      <c r="S7" s="1"/>
      <c r="T7" s="1"/>
      <c r="U7" s="50" t="s">
        <v>82</v>
      </c>
      <c r="V7" s="51">
        <v>7.617647058823529</v>
      </c>
    </row>
    <row r="8" ht="18.75" customHeight="1">
      <c r="A8" s="1"/>
      <c r="B8" s="50" t="s">
        <v>82</v>
      </c>
      <c r="C8" s="57">
        <v>34.0</v>
      </c>
      <c r="D8" s="1"/>
      <c r="E8" s="1"/>
      <c r="F8" s="50" t="s">
        <v>72</v>
      </c>
      <c r="G8" s="57">
        <v>17.0</v>
      </c>
      <c r="H8" s="1"/>
      <c r="I8" s="1"/>
      <c r="J8" s="48" t="s">
        <v>403</v>
      </c>
      <c r="K8" s="46"/>
      <c r="L8" s="46"/>
      <c r="M8" s="32"/>
      <c r="N8" s="38" t="s">
        <v>67</v>
      </c>
      <c r="O8" s="37" t="s">
        <v>412</v>
      </c>
      <c r="P8" s="1"/>
      <c r="Q8" s="50" t="s">
        <v>85</v>
      </c>
      <c r="R8" s="57">
        <v>14897.0</v>
      </c>
      <c r="S8" s="1"/>
      <c r="T8" s="1"/>
      <c r="U8" s="50" t="s">
        <v>94</v>
      </c>
      <c r="V8" s="51">
        <v>7.5</v>
      </c>
    </row>
    <row r="9" ht="18.75" customHeight="1">
      <c r="A9" s="1"/>
      <c r="B9" s="50" t="s">
        <v>88</v>
      </c>
      <c r="C9" s="57">
        <v>25.0</v>
      </c>
      <c r="D9" s="1"/>
      <c r="E9" s="1"/>
      <c r="F9" s="50" t="s">
        <v>83</v>
      </c>
      <c r="G9" s="57">
        <v>11.0</v>
      </c>
      <c r="H9" s="1"/>
      <c r="I9" s="1"/>
      <c r="J9" s="46"/>
      <c r="K9" s="46"/>
      <c r="L9" s="46"/>
      <c r="M9" s="32"/>
      <c r="N9" s="58">
        <v>34098.0</v>
      </c>
      <c r="O9" s="57">
        <v>1.0</v>
      </c>
      <c r="P9" s="1"/>
      <c r="Q9" s="50" t="s">
        <v>82</v>
      </c>
      <c r="R9" s="57">
        <v>14372.0</v>
      </c>
      <c r="S9" s="1"/>
      <c r="T9" s="1"/>
      <c r="U9" s="50" t="s">
        <v>114</v>
      </c>
      <c r="V9" s="51">
        <v>6.0</v>
      </c>
    </row>
    <row r="10" ht="18.75" customHeight="1">
      <c r="A10" s="1"/>
      <c r="B10" s="50" t="s">
        <v>85</v>
      </c>
      <c r="C10" s="57">
        <v>24.0</v>
      </c>
      <c r="D10" s="1"/>
      <c r="E10" s="1"/>
      <c r="F10" s="50" t="s">
        <v>80</v>
      </c>
      <c r="G10" s="57">
        <v>11.0</v>
      </c>
      <c r="H10" s="1"/>
      <c r="I10" s="1"/>
      <c r="J10" s="37" t="s">
        <v>413</v>
      </c>
      <c r="K10" s="37" t="s">
        <v>406</v>
      </c>
      <c r="L10" s="37" t="s">
        <v>407</v>
      </c>
      <c r="M10" s="1"/>
      <c r="N10" s="58">
        <v>34176.0</v>
      </c>
      <c r="O10" s="57">
        <v>1.0</v>
      </c>
      <c r="P10" s="1"/>
      <c r="Q10" s="50" t="s">
        <v>100</v>
      </c>
      <c r="R10" s="57">
        <v>10399.0</v>
      </c>
      <c r="S10" s="1"/>
      <c r="T10" s="1"/>
      <c r="U10" s="50" t="s">
        <v>74</v>
      </c>
      <c r="V10" s="51">
        <v>7.942857142857143</v>
      </c>
    </row>
    <row r="11" ht="18.75" customHeight="1">
      <c r="A11" s="1"/>
      <c r="B11" s="50" t="s">
        <v>100</v>
      </c>
      <c r="C11" s="57">
        <v>20.0</v>
      </c>
      <c r="D11" s="1"/>
      <c r="E11" s="1"/>
      <c r="F11" s="50" t="s">
        <v>95</v>
      </c>
      <c r="G11" s="57">
        <v>3.0</v>
      </c>
      <c r="H11" s="1"/>
      <c r="I11" s="1"/>
      <c r="J11" s="59">
        <v>3028.0</v>
      </c>
      <c r="K11" s="57">
        <v>1.0</v>
      </c>
      <c r="L11" s="59">
        <v>1584.0</v>
      </c>
      <c r="M11" s="1"/>
      <c r="N11" s="58">
        <v>34187.0</v>
      </c>
      <c r="O11" s="57">
        <v>1.0</v>
      </c>
      <c r="P11" s="1"/>
      <c r="Q11" s="50" t="s">
        <v>88</v>
      </c>
      <c r="R11" s="57">
        <v>10394.0</v>
      </c>
      <c r="S11" s="1"/>
      <c r="T11" s="1"/>
      <c r="U11" s="50" t="s">
        <v>91</v>
      </c>
      <c r="V11" s="51">
        <v>8.6</v>
      </c>
    </row>
    <row r="12" ht="18.75" customHeight="1">
      <c r="A12" s="1"/>
      <c r="B12" s="50" t="s">
        <v>94</v>
      </c>
      <c r="C12" s="57">
        <v>20.0</v>
      </c>
      <c r="D12" s="1"/>
      <c r="E12" s="1"/>
      <c r="F12" s="50" t="s">
        <v>86</v>
      </c>
      <c r="G12" s="57">
        <v>3.0</v>
      </c>
      <c r="H12" s="1"/>
      <c r="I12" s="1"/>
      <c r="J12" s="57">
        <v>2639.0</v>
      </c>
      <c r="K12" s="57">
        <v>1.0</v>
      </c>
      <c r="L12" s="57">
        <v>1551.0</v>
      </c>
      <c r="M12" s="1"/>
      <c r="N12" s="58">
        <v>34216.0</v>
      </c>
      <c r="O12" s="57">
        <v>1.0</v>
      </c>
      <c r="P12" s="1"/>
      <c r="Q12" s="50" t="s">
        <v>94</v>
      </c>
      <c r="R12" s="57">
        <v>9306.0</v>
      </c>
      <c r="S12" s="1"/>
      <c r="T12" s="1"/>
      <c r="U12" s="50" t="s">
        <v>79</v>
      </c>
      <c r="V12" s="51">
        <v>7.803571428571429</v>
      </c>
    </row>
    <row r="13" ht="18.75" customHeight="1">
      <c r="A13" s="1"/>
      <c r="B13" s="50" t="s">
        <v>97</v>
      </c>
      <c r="C13" s="57">
        <v>19.0</v>
      </c>
      <c r="D13" s="1"/>
      <c r="E13" s="1"/>
      <c r="F13" s="50" t="s">
        <v>103</v>
      </c>
      <c r="G13" s="57">
        <v>3.0</v>
      </c>
      <c r="H13" s="1"/>
      <c r="I13" s="1"/>
      <c r="J13" s="57">
        <v>3071.0</v>
      </c>
      <c r="K13" s="57">
        <v>1.0</v>
      </c>
      <c r="L13" s="57">
        <v>1515.0</v>
      </c>
      <c r="M13" s="1"/>
      <c r="N13" s="58">
        <v>34218.0</v>
      </c>
      <c r="O13" s="57">
        <v>1.0</v>
      </c>
      <c r="P13" s="1"/>
      <c r="Q13" s="50" t="s">
        <v>105</v>
      </c>
      <c r="R13" s="57">
        <v>9272.0</v>
      </c>
      <c r="S13" s="1"/>
      <c r="T13" s="1"/>
      <c r="U13" s="50" t="s">
        <v>179</v>
      </c>
      <c r="V13" s="51">
        <v>8.0</v>
      </c>
    </row>
    <row r="14" ht="18.75" customHeight="1">
      <c r="A14" s="1"/>
      <c r="B14" s="50" t="s">
        <v>105</v>
      </c>
      <c r="C14" s="57">
        <v>18.0</v>
      </c>
      <c r="D14" s="1"/>
      <c r="E14" s="1"/>
      <c r="F14" s="50" t="s">
        <v>108</v>
      </c>
      <c r="G14" s="57">
        <v>3.0</v>
      </c>
      <c r="H14" s="1"/>
      <c r="I14" s="1"/>
      <c r="J14" s="57">
        <v>4468.0</v>
      </c>
      <c r="K14" s="57">
        <v>1.0</v>
      </c>
      <c r="L14" s="57">
        <v>1436.0</v>
      </c>
      <c r="M14" s="1"/>
      <c r="N14" s="58">
        <v>34226.0</v>
      </c>
      <c r="O14" s="57">
        <v>1.0</v>
      </c>
      <c r="P14" s="1"/>
      <c r="Q14" s="50" t="s">
        <v>97</v>
      </c>
      <c r="R14" s="57">
        <v>7664.0</v>
      </c>
      <c r="S14" s="1"/>
      <c r="T14" s="1"/>
      <c r="U14" s="50" t="s">
        <v>237</v>
      </c>
      <c r="V14" s="51">
        <v>13.0</v>
      </c>
    </row>
    <row r="15" ht="18.75" customHeight="1">
      <c r="A15" s="1"/>
      <c r="B15" s="50" t="s">
        <v>179</v>
      </c>
      <c r="C15" s="57">
        <v>9.0</v>
      </c>
      <c r="D15" s="1"/>
      <c r="E15" s="1"/>
      <c r="F15" s="50" t="s">
        <v>101</v>
      </c>
      <c r="G15" s="57">
        <v>3.0</v>
      </c>
      <c r="H15" s="1"/>
      <c r="I15" s="1"/>
      <c r="J15" s="57">
        <v>5563.0</v>
      </c>
      <c r="K15" s="57">
        <v>1.0</v>
      </c>
      <c r="L15" s="57">
        <v>1397.0</v>
      </c>
      <c r="M15" s="1"/>
      <c r="N15" s="58">
        <v>34346.0</v>
      </c>
      <c r="O15" s="57">
        <v>1.0</v>
      </c>
      <c r="P15" s="1"/>
      <c r="Q15" s="50" t="s">
        <v>179</v>
      </c>
      <c r="R15" s="57">
        <v>3744.0</v>
      </c>
      <c r="S15" s="1"/>
      <c r="T15" s="1"/>
      <c r="U15" s="50" t="s">
        <v>85</v>
      </c>
      <c r="V15" s="51">
        <v>7.166666666666667</v>
      </c>
    </row>
    <row r="16" ht="18.75" customHeight="1">
      <c r="A16" s="1"/>
      <c r="B16" s="50" t="s">
        <v>125</v>
      </c>
      <c r="C16" s="57">
        <v>7.0</v>
      </c>
      <c r="D16" s="1"/>
      <c r="E16" s="1"/>
      <c r="F16" s="50" t="s">
        <v>106</v>
      </c>
      <c r="G16" s="57">
        <v>3.0</v>
      </c>
      <c r="H16" s="1"/>
      <c r="I16" s="1"/>
      <c r="J16" s="57">
        <v>3700.0</v>
      </c>
      <c r="K16" s="57">
        <v>1.0</v>
      </c>
      <c r="L16" s="57">
        <v>1386.0</v>
      </c>
      <c r="M16" s="1"/>
      <c r="N16" s="58">
        <v>34359.0</v>
      </c>
      <c r="O16" s="57">
        <v>1.0</v>
      </c>
      <c r="P16" s="1"/>
      <c r="Q16" s="50" t="s">
        <v>139</v>
      </c>
      <c r="R16" s="57">
        <v>3381.0</v>
      </c>
      <c r="S16" s="1"/>
      <c r="T16" s="1"/>
      <c r="U16" s="50" t="s">
        <v>100</v>
      </c>
      <c r="V16" s="51">
        <v>7.65</v>
      </c>
    </row>
    <row r="17" ht="18.75" customHeight="1">
      <c r="A17" s="1"/>
      <c r="B17" s="50" t="s">
        <v>114</v>
      </c>
      <c r="C17" s="57">
        <v>6.0</v>
      </c>
      <c r="D17" s="1"/>
      <c r="E17" s="1"/>
      <c r="F17" s="50" t="s">
        <v>112</v>
      </c>
      <c r="G17" s="57">
        <v>3.0</v>
      </c>
      <c r="H17" s="1"/>
      <c r="I17" s="1"/>
      <c r="J17" s="57">
        <v>3022.0</v>
      </c>
      <c r="K17" s="57">
        <v>1.0</v>
      </c>
      <c r="L17" s="57">
        <v>1319.0</v>
      </c>
      <c r="M17" s="1"/>
      <c r="N17" s="58">
        <v>34484.0</v>
      </c>
      <c r="O17" s="57">
        <v>1.0</v>
      </c>
      <c r="P17" s="1"/>
      <c r="Q17" s="50" t="s">
        <v>114</v>
      </c>
      <c r="R17" s="57">
        <v>3047.0</v>
      </c>
      <c r="S17" s="1"/>
      <c r="T17" s="1"/>
      <c r="U17" s="50" t="s">
        <v>139</v>
      </c>
      <c r="V17" s="51">
        <v>10.2</v>
      </c>
    </row>
    <row r="18" ht="18.75" customHeight="1">
      <c r="A18" s="1"/>
      <c r="B18" s="50" t="s">
        <v>154</v>
      </c>
      <c r="C18" s="57">
        <v>6.0</v>
      </c>
      <c r="D18" s="1"/>
      <c r="E18" s="1"/>
      <c r="F18" s="50" t="s">
        <v>92</v>
      </c>
      <c r="G18" s="57">
        <v>3.0</v>
      </c>
      <c r="H18" s="1"/>
      <c r="I18" s="1"/>
      <c r="J18" s="57">
        <v>2826.0</v>
      </c>
      <c r="K18" s="57">
        <v>1.0</v>
      </c>
      <c r="L18" s="57">
        <v>1291.0</v>
      </c>
      <c r="M18" s="1"/>
      <c r="N18" s="58">
        <v>34488.0</v>
      </c>
      <c r="O18" s="57">
        <v>1.0</v>
      </c>
      <c r="P18" s="1"/>
      <c r="Q18" s="50" t="s">
        <v>125</v>
      </c>
      <c r="R18" s="57">
        <v>2697.0</v>
      </c>
      <c r="S18" s="1"/>
      <c r="T18" s="1"/>
      <c r="U18" s="50" t="s">
        <v>88</v>
      </c>
      <c r="V18" s="51">
        <v>8.72</v>
      </c>
    </row>
    <row r="19" ht="18.75" customHeight="1">
      <c r="A19" s="1"/>
      <c r="B19" s="50" t="s">
        <v>132</v>
      </c>
      <c r="C19" s="57">
        <v>5.0</v>
      </c>
      <c r="D19" s="1"/>
      <c r="E19" s="1"/>
      <c r="F19" s="50" t="s">
        <v>89</v>
      </c>
      <c r="G19" s="57">
        <v>3.0</v>
      </c>
      <c r="H19" s="1"/>
      <c r="I19" s="1"/>
      <c r="J19" s="57">
        <v>4951.0</v>
      </c>
      <c r="K19" s="57">
        <v>1.0</v>
      </c>
      <c r="L19" s="57">
        <v>1071.0</v>
      </c>
      <c r="M19" s="1"/>
      <c r="N19" s="58">
        <v>34585.0</v>
      </c>
      <c r="O19" s="57">
        <v>1.0</v>
      </c>
      <c r="P19" s="1"/>
      <c r="Q19" s="50" t="s">
        <v>132</v>
      </c>
      <c r="R19" s="57">
        <v>2516.0</v>
      </c>
      <c r="S19" s="1"/>
      <c r="T19" s="1"/>
      <c r="U19" s="50" t="s">
        <v>166</v>
      </c>
      <c r="V19" s="51">
        <v>5.25</v>
      </c>
    </row>
    <row r="20" ht="18.75" customHeight="1">
      <c r="A20" s="1"/>
      <c r="B20" s="50" t="s">
        <v>139</v>
      </c>
      <c r="C20" s="57">
        <v>5.0</v>
      </c>
      <c r="D20" s="1"/>
      <c r="E20" s="1"/>
      <c r="F20" s="50" t="s">
        <v>98</v>
      </c>
      <c r="G20" s="57">
        <v>3.0</v>
      </c>
      <c r="H20" s="1"/>
      <c r="I20" s="1"/>
      <c r="J20" s="57">
        <v>2495.0</v>
      </c>
      <c r="K20" s="57">
        <v>1.0</v>
      </c>
      <c r="L20" s="57">
        <v>999.0</v>
      </c>
      <c r="M20" s="1"/>
      <c r="N20" s="58">
        <v>34599.0</v>
      </c>
      <c r="O20" s="57">
        <v>1.0</v>
      </c>
      <c r="P20" s="1"/>
      <c r="Q20" s="50" t="s">
        <v>154</v>
      </c>
      <c r="R20" s="57">
        <v>2228.0</v>
      </c>
      <c r="S20" s="1"/>
      <c r="T20" s="1"/>
      <c r="U20" s="50" t="s">
        <v>97</v>
      </c>
      <c r="V20" s="51">
        <v>9.263157894736842</v>
      </c>
    </row>
    <row r="21" ht="18.75" customHeight="1">
      <c r="A21" s="1"/>
      <c r="B21" s="50" t="s">
        <v>91</v>
      </c>
      <c r="C21" s="57">
        <v>5.0</v>
      </c>
      <c r="D21" s="1"/>
      <c r="E21" s="1"/>
      <c r="F21" s="50" t="s">
        <v>110</v>
      </c>
      <c r="G21" s="57">
        <v>3.0</v>
      </c>
      <c r="H21" s="1"/>
      <c r="I21" s="1"/>
      <c r="J21" s="57">
        <v>3068.0</v>
      </c>
      <c r="K21" s="57">
        <v>1.0</v>
      </c>
      <c r="L21" s="57">
        <v>997.0</v>
      </c>
      <c r="M21" s="1"/>
      <c r="N21" s="58">
        <v>34600.0</v>
      </c>
      <c r="O21" s="57">
        <v>1.0</v>
      </c>
      <c r="P21" s="1"/>
      <c r="Q21" s="50" t="s">
        <v>91</v>
      </c>
      <c r="R21" s="57">
        <v>1846.0</v>
      </c>
      <c r="S21" s="1"/>
      <c r="T21" s="1"/>
      <c r="U21" s="50" t="s">
        <v>132</v>
      </c>
      <c r="V21" s="51">
        <v>9.6</v>
      </c>
    </row>
    <row r="22" ht="18.75" customHeight="1">
      <c r="A22" s="1"/>
      <c r="B22" s="50" t="s">
        <v>166</v>
      </c>
      <c r="C22" s="57">
        <v>4.0</v>
      </c>
      <c r="D22" s="1"/>
      <c r="E22" s="1"/>
      <c r="F22" s="50" t="s">
        <v>117</v>
      </c>
      <c r="G22" s="57">
        <v>2.0</v>
      </c>
      <c r="H22" s="1"/>
      <c r="I22" s="1"/>
      <c r="J22" s="57">
        <v>3811.0</v>
      </c>
      <c r="K22" s="57">
        <v>1.0</v>
      </c>
      <c r="L22" s="57">
        <v>992.0</v>
      </c>
      <c r="M22" s="1"/>
      <c r="N22" s="58">
        <v>34646.0</v>
      </c>
      <c r="O22" s="57">
        <v>1.0</v>
      </c>
      <c r="P22" s="1"/>
      <c r="Q22" s="50" t="s">
        <v>166</v>
      </c>
      <c r="R22" s="57">
        <v>1238.0</v>
      </c>
      <c r="S22" s="1"/>
      <c r="T22" s="1"/>
      <c r="U22" s="50" t="s">
        <v>371</v>
      </c>
      <c r="V22" s="51">
        <v>12.0</v>
      </c>
    </row>
    <row r="23" ht="18.75" customHeight="1">
      <c r="A23" s="1"/>
      <c r="B23" s="50" t="s">
        <v>371</v>
      </c>
      <c r="C23" s="57">
        <v>1.0</v>
      </c>
      <c r="D23" s="1"/>
      <c r="E23" s="1"/>
      <c r="F23" s="50" t="s">
        <v>137</v>
      </c>
      <c r="G23" s="57">
        <v>2.0</v>
      </c>
      <c r="H23" s="1"/>
      <c r="I23" s="1"/>
      <c r="J23" s="57">
        <v>4800.0</v>
      </c>
      <c r="K23" s="57">
        <v>1.0</v>
      </c>
      <c r="L23" s="57">
        <v>991.0</v>
      </c>
      <c r="M23" s="1"/>
      <c r="N23" s="58">
        <v>34709.0</v>
      </c>
      <c r="O23" s="57">
        <v>1.0</v>
      </c>
      <c r="P23" s="1"/>
      <c r="Q23" s="50" t="s">
        <v>371</v>
      </c>
      <c r="R23" s="57">
        <v>951.0</v>
      </c>
      <c r="S23" s="1"/>
      <c r="T23" s="1"/>
      <c r="U23" s="50" t="s">
        <v>105</v>
      </c>
      <c r="V23" s="51">
        <v>9.222222222222221</v>
      </c>
    </row>
    <row r="24" ht="18.75" customHeight="1">
      <c r="A24" s="1"/>
      <c r="B24" s="50" t="s">
        <v>237</v>
      </c>
      <c r="C24" s="57">
        <v>1.0</v>
      </c>
      <c r="D24" s="1"/>
      <c r="E24" s="1"/>
      <c r="F24" s="50" t="s">
        <v>115</v>
      </c>
      <c r="G24" s="57">
        <v>2.0</v>
      </c>
      <c r="H24" s="1"/>
      <c r="I24" s="1"/>
      <c r="J24" s="57">
        <v>4435.0</v>
      </c>
      <c r="K24" s="57">
        <v>1.0</v>
      </c>
      <c r="L24" s="57">
        <v>990.0</v>
      </c>
      <c r="M24" s="1"/>
      <c r="N24" s="58">
        <v>34710.0</v>
      </c>
      <c r="O24" s="57">
        <v>1.0</v>
      </c>
      <c r="P24" s="1"/>
      <c r="Q24" s="60" t="s">
        <v>237</v>
      </c>
      <c r="R24" s="56">
        <v>232.0</v>
      </c>
      <c r="S24" s="1"/>
      <c r="T24" s="1"/>
      <c r="U24" s="61" t="s">
        <v>414</v>
      </c>
      <c r="V24" s="62">
        <v>8.023333333333333</v>
      </c>
    </row>
    <row r="25" ht="18.75" customHeight="1">
      <c r="A25" s="1"/>
      <c r="B25" s="61" t="s">
        <v>414</v>
      </c>
      <c r="C25" s="63">
        <v>284.0</v>
      </c>
      <c r="D25" s="1"/>
      <c r="E25" s="1"/>
      <c r="F25" s="50" t="s">
        <v>130</v>
      </c>
      <c r="G25" s="57">
        <v>2.0</v>
      </c>
      <c r="H25" s="1"/>
      <c r="I25" s="1"/>
      <c r="J25" s="57">
        <v>4207.0</v>
      </c>
      <c r="K25" s="57">
        <v>1.0</v>
      </c>
      <c r="L25" s="57">
        <v>989.0</v>
      </c>
      <c r="M25" s="1"/>
      <c r="N25" s="58">
        <v>34722.0</v>
      </c>
      <c r="O25" s="57">
        <v>1.0</v>
      </c>
      <c r="P25" s="1"/>
      <c r="Q25" s="61" t="s">
        <v>414</v>
      </c>
      <c r="R25" s="63">
        <v>152151.0</v>
      </c>
      <c r="S25" s="1"/>
      <c r="T25" s="1"/>
      <c r="U25" s="1"/>
      <c r="V25" s="43"/>
    </row>
    <row r="26" ht="18.75" customHeight="1">
      <c r="A26" s="1"/>
      <c r="B26" s="1"/>
      <c r="C26" s="46"/>
      <c r="D26" s="1"/>
      <c r="E26" s="1"/>
      <c r="F26" s="50" t="s">
        <v>140</v>
      </c>
      <c r="G26" s="57">
        <v>2.0</v>
      </c>
      <c r="H26" s="1"/>
      <c r="I26" s="1"/>
      <c r="J26" s="57">
        <v>5180.0</v>
      </c>
      <c r="K26" s="57">
        <v>1.0</v>
      </c>
      <c r="L26" s="57">
        <v>988.0</v>
      </c>
      <c r="M26" s="1"/>
      <c r="N26" s="58">
        <v>34731.0</v>
      </c>
      <c r="O26" s="57">
        <v>1.0</v>
      </c>
      <c r="P26" s="1"/>
      <c r="Q26" s="1"/>
      <c r="R26" s="46"/>
      <c r="S26" s="1"/>
      <c r="T26" s="1"/>
      <c r="U26" s="1"/>
      <c r="V26" s="43"/>
    </row>
    <row r="27" ht="18.75" customHeight="1">
      <c r="A27" s="1"/>
      <c r="B27" s="32" t="s">
        <v>415</v>
      </c>
      <c r="C27" s="48"/>
      <c r="D27" s="32"/>
      <c r="E27" s="1"/>
      <c r="F27" s="50" t="s">
        <v>119</v>
      </c>
      <c r="G27" s="57">
        <v>2.0</v>
      </c>
      <c r="H27" s="1"/>
      <c r="I27" s="1"/>
      <c r="J27" s="57">
        <v>5485.0</v>
      </c>
      <c r="K27" s="57">
        <v>1.0</v>
      </c>
      <c r="L27" s="57">
        <v>986.0</v>
      </c>
      <c r="M27" s="1"/>
      <c r="N27" s="58">
        <v>34765.0</v>
      </c>
      <c r="O27" s="57">
        <v>1.0</v>
      </c>
      <c r="P27" s="1"/>
      <c r="Q27" s="1"/>
      <c r="R27" s="46"/>
      <c r="S27" s="1"/>
      <c r="T27" s="1"/>
      <c r="U27" s="1"/>
      <c r="V27" s="43"/>
    </row>
    <row r="28" ht="18.75" customHeight="1">
      <c r="A28" s="1"/>
      <c r="B28" s="32" t="s">
        <v>416</v>
      </c>
      <c r="C28" s="48"/>
      <c r="D28" s="32"/>
      <c r="E28" s="1"/>
      <c r="F28" s="50" t="s">
        <v>126</v>
      </c>
      <c r="G28" s="57">
        <v>2.0</v>
      </c>
      <c r="H28" s="1"/>
      <c r="I28" s="1"/>
      <c r="J28" s="57">
        <v>2943.0</v>
      </c>
      <c r="K28" s="57">
        <v>1.0</v>
      </c>
      <c r="L28" s="57">
        <v>983.0</v>
      </c>
      <c r="M28" s="1"/>
      <c r="N28" s="58">
        <v>34810.0</v>
      </c>
      <c r="O28" s="57">
        <v>1.0</v>
      </c>
      <c r="P28" s="1"/>
      <c r="Q28" s="1"/>
      <c r="R28" s="46"/>
      <c r="S28" s="1"/>
      <c r="T28" s="1"/>
      <c r="U28" s="1"/>
      <c r="V28" s="43"/>
    </row>
    <row r="29" ht="18.75" customHeight="1">
      <c r="A29" s="1"/>
      <c r="B29" s="32" t="s">
        <v>417</v>
      </c>
      <c r="C29" s="48"/>
      <c r="D29" s="32"/>
      <c r="E29" s="1"/>
      <c r="F29" s="50" t="s">
        <v>135</v>
      </c>
      <c r="G29" s="57">
        <v>2.0</v>
      </c>
      <c r="H29" s="1"/>
      <c r="I29" s="1"/>
      <c r="J29" s="57">
        <v>3392.0</v>
      </c>
      <c r="K29" s="57">
        <v>1.0</v>
      </c>
      <c r="L29" s="57">
        <v>973.0</v>
      </c>
      <c r="M29" s="1"/>
      <c r="N29" s="58">
        <v>34817.0</v>
      </c>
      <c r="O29" s="57">
        <v>1.0</v>
      </c>
      <c r="P29" s="1"/>
      <c r="Q29" s="1"/>
      <c r="R29" s="46"/>
      <c r="S29" s="1"/>
      <c r="T29" s="1"/>
      <c r="U29" s="1"/>
      <c r="V29" s="43"/>
    </row>
    <row r="30" ht="18.75" customHeight="1">
      <c r="A30" s="1"/>
      <c r="B30" s="1"/>
      <c r="C30" s="46"/>
      <c r="D30" s="1"/>
      <c r="E30" s="1"/>
      <c r="F30" s="50" t="s">
        <v>133</v>
      </c>
      <c r="G30" s="57">
        <v>2.0</v>
      </c>
      <c r="H30" s="1"/>
      <c r="I30" s="1"/>
      <c r="J30" s="57">
        <v>4233.0</v>
      </c>
      <c r="K30" s="57">
        <v>1.0</v>
      </c>
      <c r="L30" s="57">
        <v>973.0</v>
      </c>
      <c r="M30" s="1"/>
      <c r="N30" s="58">
        <v>34820.0</v>
      </c>
      <c r="O30" s="57">
        <v>1.0</v>
      </c>
      <c r="P30" s="1"/>
      <c r="Q30" s="1"/>
      <c r="R30" s="46"/>
      <c r="S30" s="1"/>
      <c r="T30" s="1"/>
      <c r="U30" s="1"/>
      <c r="V30" s="43"/>
    </row>
    <row r="31" ht="18.75" customHeight="1">
      <c r="A31" s="1"/>
      <c r="B31" s="30" t="s">
        <v>64</v>
      </c>
      <c r="C31" s="37" t="s">
        <v>412</v>
      </c>
      <c r="D31" s="1"/>
      <c r="E31" s="1"/>
      <c r="F31" s="50" t="s">
        <v>123</v>
      </c>
      <c r="G31" s="57">
        <v>2.0</v>
      </c>
      <c r="H31" s="1"/>
      <c r="I31" s="1"/>
      <c r="J31" s="57">
        <v>4646.0</v>
      </c>
      <c r="K31" s="57">
        <v>1.0</v>
      </c>
      <c r="L31" s="57">
        <v>966.0</v>
      </c>
      <c r="M31" s="1"/>
      <c r="N31" s="58">
        <v>34854.0</v>
      </c>
      <c r="O31" s="57">
        <v>1.0</v>
      </c>
      <c r="P31" s="1"/>
      <c r="Q31" s="1"/>
      <c r="R31" s="46"/>
      <c r="S31" s="1"/>
      <c r="T31" s="1"/>
      <c r="U31" s="1"/>
      <c r="V31" s="43"/>
    </row>
    <row r="32" ht="18.75" customHeight="1">
      <c r="A32" s="1"/>
      <c r="B32" s="52" t="s">
        <v>79</v>
      </c>
      <c r="C32" s="53">
        <v>56.0</v>
      </c>
      <c r="D32" s="1"/>
      <c r="E32" s="1"/>
      <c r="F32" s="50" t="s">
        <v>121</v>
      </c>
      <c r="G32" s="57">
        <v>2.0</v>
      </c>
      <c r="H32" s="1"/>
      <c r="I32" s="1"/>
      <c r="J32" s="57">
        <v>2789.0</v>
      </c>
      <c r="K32" s="57">
        <v>1.0</v>
      </c>
      <c r="L32" s="57">
        <v>961.0</v>
      </c>
      <c r="M32" s="1"/>
      <c r="N32" s="58">
        <v>34867.0</v>
      </c>
      <c r="O32" s="57">
        <v>1.0</v>
      </c>
      <c r="P32" s="1"/>
      <c r="Q32" s="1"/>
      <c r="R32" s="46"/>
      <c r="S32" s="1"/>
      <c r="T32" s="1"/>
      <c r="U32" s="1"/>
      <c r="V32" s="43"/>
    </row>
    <row r="33" ht="18.75" customHeight="1">
      <c r="A33" s="1"/>
      <c r="B33" s="50" t="s">
        <v>74</v>
      </c>
      <c r="C33" s="57">
        <v>35.0</v>
      </c>
      <c r="D33" s="1"/>
      <c r="E33" s="1"/>
      <c r="F33" s="50" t="s">
        <v>128</v>
      </c>
      <c r="G33" s="57">
        <v>2.0</v>
      </c>
      <c r="H33" s="1"/>
      <c r="I33" s="1"/>
      <c r="J33" s="57">
        <v>3631.0</v>
      </c>
      <c r="K33" s="57">
        <v>1.0</v>
      </c>
      <c r="L33" s="57">
        <v>960.0</v>
      </c>
      <c r="M33" s="1"/>
      <c r="N33" s="58">
        <v>35002.0</v>
      </c>
      <c r="O33" s="57">
        <v>1.0</v>
      </c>
      <c r="P33" s="1"/>
      <c r="Q33" s="1"/>
      <c r="R33" s="46"/>
      <c r="S33" s="1"/>
      <c r="T33" s="1"/>
      <c r="U33" s="1"/>
      <c r="V33" s="43"/>
    </row>
    <row r="34" ht="18.75" customHeight="1">
      <c r="A34" s="1"/>
      <c r="B34" s="50" t="s">
        <v>82</v>
      </c>
      <c r="C34" s="57">
        <v>34.0</v>
      </c>
      <c r="D34" s="1"/>
      <c r="E34" s="1"/>
      <c r="F34" s="61" t="s">
        <v>414</v>
      </c>
      <c r="G34" s="63">
        <v>124.0</v>
      </c>
      <c r="H34" s="1"/>
      <c r="I34" s="1"/>
      <c r="J34" s="57">
        <v>2795.0</v>
      </c>
      <c r="K34" s="57">
        <v>1.0</v>
      </c>
      <c r="L34" s="57">
        <v>955.0</v>
      </c>
      <c r="M34" s="1"/>
      <c r="N34" s="64" t="s">
        <v>414</v>
      </c>
      <c r="O34" s="63">
        <v>25.0</v>
      </c>
      <c r="P34" s="1"/>
      <c r="Q34" s="1"/>
      <c r="R34" s="46"/>
      <c r="S34" s="1"/>
      <c r="T34" s="1"/>
      <c r="U34" s="1"/>
      <c r="V34" s="43"/>
    </row>
    <row r="35" ht="18.75" customHeight="1">
      <c r="A35" s="1"/>
      <c r="B35" s="50" t="s">
        <v>88</v>
      </c>
      <c r="C35" s="57">
        <v>25.0</v>
      </c>
      <c r="D35" s="1"/>
      <c r="E35" s="1"/>
      <c r="F35" s="1"/>
      <c r="G35" s="46"/>
      <c r="H35" s="1"/>
      <c r="I35" s="1"/>
      <c r="J35" s="57">
        <v>3912.0</v>
      </c>
      <c r="K35" s="57">
        <v>1.0</v>
      </c>
      <c r="L35" s="57">
        <v>955.0</v>
      </c>
      <c r="M35" s="1"/>
      <c r="N35" s="47"/>
      <c r="O35" s="46"/>
      <c r="P35" s="1"/>
      <c r="Q35" s="1"/>
      <c r="R35" s="46"/>
      <c r="S35" s="1"/>
      <c r="T35" s="1"/>
      <c r="U35" s="1"/>
      <c r="V35" s="43"/>
    </row>
    <row r="36" ht="18.75" customHeight="1">
      <c r="A36" s="1"/>
      <c r="B36" s="50" t="s">
        <v>85</v>
      </c>
      <c r="C36" s="57">
        <v>24.0</v>
      </c>
      <c r="D36" s="1"/>
      <c r="E36" s="1"/>
      <c r="F36" s="30" t="s">
        <v>62</v>
      </c>
      <c r="G36" s="37" t="s">
        <v>408</v>
      </c>
      <c r="H36" s="1"/>
      <c r="I36" s="1"/>
      <c r="J36" s="57">
        <v>4886.0</v>
      </c>
      <c r="K36" s="57">
        <v>1.0</v>
      </c>
      <c r="L36" s="57">
        <v>954.0</v>
      </c>
      <c r="M36" s="1"/>
      <c r="N36" s="38" t="s">
        <v>418</v>
      </c>
      <c r="O36" s="37" t="s">
        <v>412</v>
      </c>
      <c r="P36" s="1"/>
      <c r="Q36" s="1"/>
      <c r="R36" s="46"/>
      <c r="S36" s="1"/>
      <c r="T36" s="1"/>
      <c r="U36" s="1"/>
      <c r="V36" s="43"/>
    </row>
    <row r="37" ht="18.75" customHeight="1">
      <c r="A37" s="1"/>
      <c r="B37" s="50" t="s">
        <v>100</v>
      </c>
      <c r="C37" s="57">
        <v>20.0</v>
      </c>
      <c r="D37" s="1"/>
      <c r="E37" s="1"/>
      <c r="F37" s="50" t="s">
        <v>284</v>
      </c>
      <c r="G37" s="57">
        <v>1.0</v>
      </c>
      <c r="H37" s="1"/>
      <c r="I37" s="1"/>
      <c r="J37" s="57">
        <v>4396.0</v>
      </c>
      <c r="K37" s="57">
        <v>1.0</v>
      </c>
      <c r="L37" s="57">
        <v>953.0</v>
      </c>
      <c r="M37" s="1"/>
      <c r="N37" s="58">
        <v>1954.0</v>
      </c>
      <c r="O37" s="57">
        <v>1.0</v>
      </c>
      <c r="P37" s="1"/>
      <c r="Q37" s="1"/>
      <c r="R37" s="46"/>
      <c r="S37" s="1"/>
      <c r="T37" s="1"/>
      <c r="U37" s="1"/>
      <c r="V37" s="43"/>
    </row>
    <row r="38" ht="18.75" customHeight="1">
      <c r="A38" s="1"/>
      <c r="B38" s="50" t="s">
        <v>94</v>
      </c>
      <c r="C38" s="57">
        <v>20.0</v>
      </c>
      <c r="D38" s="1"/>
      <c r="E38" s="1"/>
      <c r="F38" s="50" t="s">
        <v>323</v>
      </c>
      <c r="G38" s="57">
        <v>1.0</v>
      </c>
      <c r="H38" s="1"/>
      <c r="I38" s="1"/>
      <c r="J38" s="57">
        <v>4173.0</v>
      </c>
      <c r="K38" s="57">
        <v>1.0</v>
      </c>
      <c r="L38" s="57">
        <v>951.0</v>
      </c>
      <c r="M38" s="1"/>
      <c r="N38" s="58">
        <v>1955.0</v>
      </c>
      <c r="O38" s="57">
        <v>11.0</v>
      </c>
      <c r="P38" s="1"/>
      <c r="Q38" s="1"/>
      <c r="R38" s="46"/>
      <c r="S38" s="1"/>
      <c r="T38" s="1"/>
      <c r="U38" s="1"/>
      <c r="V38" s="43"/>
    </row>
    <row r="39" ht="18.75" customHeight="1">
      <c r="A39" s="1"/>
      <c r="B39" s="50" t="s">
        <v>97</v>
      </c>
      <c r="C39" s="57">
        <v>19.0</v>
      </c>
      <c r="D39" s="1"/>
      <c r="E39" s="1"/>
      <c r="F39" s="50" t="s">
        <v>250</v>
      </c>
      <c r="G39" s="57">
        <v>1.0</v>
      </c>
      <c r="H39" s="1"/>
      <c r="I39" s="1"/>
      <c r="J39" s="57">
        <v>4282.0</v>
      </c>
      <c r="K39" s="57">
        <v>1.0</v>
      </c>
      <c r="L39" s="57">
        <v>944.0</v>
      </c>
      <c r="M39" s="1"/>
      <c r="N39" s="58">
        <v>1956.0</v>
      </c>
      <c r="O39" s="57">
        <v>10.0</v>
      </c>
      <c r="P39" s="1"/>
      <c r="Q39" s="1"/>
      <c r="R39" s="46"/>
      <c r="S39" s="1"/>
      <c r="T39" s="1"/>
      <c r="U39" s="1"/>
      <c r="V39" s="43"/>
    </row>
    <row r="40" ht="18.75" customHeight="1">
      <c r="A40" s="1"/>
      <c r="B40" s="50" t="s">
        <v>105</v>
      </c>
      <c r="C40" s="57">
        <v>18.0</v>
      </c>
      <c r="D40" s="1"/>
      <c r="E40" s="1"/>
      <c r="F40" s="50" t="s">
        <v>307</v>
      </c>
      <c r="G40" s="57">
        <v>1.0</v>
      </c>
      <c r="H40" s="1"/>
      <c r="I40" s="1"/>
      <c r="J40" s="57">
        <v>4632.0</v>
      </c>
      <c r="K40" s="57">
        <v>1.0</v>
      </c>
      <c r="L40" s="57">
        <v>943.0</v>
      </c>
      <c r="M40" s="1"/>
      <c r="N40" s="58">
        <v>1957.0</v>
      </c>
      <c r="O40" s="57">
        <v>11.0</v>
      </c>
      <c r="P40" s="1"/>
      <c r="Q40" s="1"/>
      <c r="R40" s="46"/>
      <c r="S40" s="1"/>
      <c r="T40" s="1"/>
      <c r="U40" s="1"/>
      <c r="V40" s="43"/>
    </row>
    <row r="41" ht="18.75" customHeight="1">
      <c r="A41" s="1"/>
      <c r="B41" s="50" t="s">
        <v>179</v>
      </c>
      <c r="C41" s="57">
        <v>9.0</v>
      </c>
      <c r="D41" s="1"/>
      <c r="E41" s="1"/>
      <c r="F41" s="50" t="s">
        <v>310</v>
      </c>
      <c r="G41" s="57">
        <v>1.0</v>
      </c>
      <c r="H41" s="1"/>
      <c r="I41" s="1"/>
      <c r="J41" s="57">
        <v>4657.0</v>
      </c>
      <c r="K41" s="57">
        <v>1.0</v>
      </c>
      <c r="L41" s="57">
        <v>941.0</v>
      </c>
      <c r="M41" s="1"/>
      <c r="N41" s="58">
        <v>1958.0</v>
      </c>
      <c r="O41" s="57">
        <v>8.0</v>
      </c>
      <c r="P41" s="1"/>
      <c r="Q41" s="1"/>
      <c r="R41" s="46"/>
      <c r="S41" s="1"/>
      <c r="T41" s="1"/>
      <c r="U41" s="1"/>
      <c r="V41" s="43"/>
    </row>
    <row r="42" ht="18.75" customHeight="1">
      <c r="A42" s="1"/>
      <c r="B42" s="50" t="s">
        <v>125</v>
      </c>
      <c r="C42" s="57">
        <v>7.0</v>
      </c>
      <c r="D42" s="1"/>
      <c r="E42" s="1"/>
      <c r="F42" s="50" t="s">
        <v>244</v>
      </c>
      <c r="G42" s="57">
        <v>1.0</v>
      </c>
      <c r="H42" s="1"/>
      <c r="I42" s="1"/>
      <c r="J42" s="57">
        <v>4625.0</v>
      </c>
      <c r="K42" s="57">
        <v>1.0</v>
      </c>
      <c r="L42" s="57">
        <v>940.0</v>
      </c>
      <c r="M42" s="1"/>
      <c r="N42" s="58">
        <v>1959.0</v>
      </c>
      <c r="O42" s="57">
        <v>10.0</v>
      </c>
      <c r="P42" s="1"/>
      <c r="Q42" s="1"/>
      <c r="R42" s="46"/>
      <c r="S42" s="1"/>
      <c r="T42" s="1"/>
      <c r="U42" s="1"/>
      <c r="V42" s="43"/>
    </row>
    <row r="43" ht="18.75" customHeight="1">
      <c r="A43" s="1"/>
      <c r="B43" s="50" t="s">
        <v>114</v>
      </c>
      <c r="C43" s="57">
        <v>6.0</v>
      </c>
      <c r="D43" s="1"/>
      <c r="E43" s="1"/>
      <c r="F43" s="50" t="s">
        <v>230</v>
      </c>
      <c r="G43" s="57">
        <v>1.0</v>
      </c>
      <c r="H43" s="1"/>
      <c r="I43" s="1"/>
      <c r="J43" s="57">
        <v>3669.0</v>
      </c>
      <c r="K43" s="57">
        <v>1.0</v>
      </c>
      <c r="L43" s="57">
        <v>939.0</v>
      </c>
      <c r="M43" s="1"/>
      <c r="N43" s="58">
        <v>1960.0</v>
      </c>
      <c r="O43" s="57">
        <v>9.0</v>
      </c>
      <c r="P43" s="1"/>
      <c r="Q43" s="1"/>
      <c r="R43" s="46"/>
      <c r="S43" s="1"/>
      <c r="T43" s="1"/>
      <c r="U43" s="1"/>
      <c r="V43" s="43"/>
    </row>
    <row r="44" ht="18.75" customHeight="1">
      <c r="A44" s="1"/>
      <c r="B44" s="50" t="s">
        <v>154</v>
      </c>
      <c r="C44" s="57">
        <v>6.0</v>
      </c>
      <c r="D44" s="1"/>
      <c r="E44" s="1"/>
      <c r="F44" s="50" t="s">
        <v>331</v>
      </c>
      <c r="G44" s="57">
        <v>1.0</v>
      </c>
      <c r="H44" s="1"/>
      <c r="I44" s="1"/>
      <c r="J44" s="57">
        <v>3681.0</v>
      </c>
      <c r="K44" s="57">
        <v>1.0</v>
      </c>
      <c r="L44" s="57">
        <v>933.0</v>
      </c>
      <c r="M44" s="1"/>
      <c r="N44" s="58">
        <v>1961.0</v>
      </c>
      <c r="O44" s="57">
        <v>3.0</v>
      </c>
      <c r="P44" s="1"/>
      <c r="Q44" s="1"/>
      <c r="R44" s="46"/>
      <c r="S44" s="1"/>
      <c r="T44" s="1"/>
      <c r="U44" s="1"/>
      <c r="V44" s="43"/>
    </row>
    <row r="45" ht="18.75" customHeight="1">
      <c r="A45" s="1"/>
      <c r="B45" s="50" t="s">
        <v>132</v>
      </c>
      <c r="C45" s="57">
        <v>5.0</v>
      </c>
      <c r="D45" s="1"/>
      <c r="E45" s="1"/>
      <c r="F45" s="50" t="s">
        <v>328</v>
      </c>
      <c r="G45" s="57">
        <v>1.0</v>
      </c>
      <c r="H45" s="1"/>
      <c r="I45" s="1"/>
      <c r="J45" s="57">
        <v>4456.0</v>
      </c>
      <c r="K45" s="57">
        <v>1.0</v>
      </c>
      <c r="L45" s="57">
        <v>926.0</v>
      </c>
      <c r="M45" s="1"/>
      <c r="N45" s="58">
        <v>1962.0</v>
      </c>
      <c r="O45" s="57">
        <v>7.0</v>
      </c>
      <c r="P45" s="1"/>
      <c r="Q45" s="1"/>
      <c r="R45" s="46"/>
      <c r="S45" s="1"/>
      <c r="T45" s="1"/>
      <c r="U45" s="1"/>
      <c r="V45" s="43"/>
    </row>
    <row r="46" ht="18.75" customHeight="1">
      <c r="A46" s="1"/>
      <c r="B46" s="50" t="s">
        <v>139</v>
      </c>
      <c r="C46" s="57">
        <v>5.0</v>
      </c>
      <c r="D46" s="1"/>
      <c r="E46" s="1"/>
      <c r="F46" s="50" t="s">
        <v>108</v>
      </c>
      <c r="G46" s="57">
        <v>3.0</v>
      </c>
      <c r="H46" s="1"/>
      <c r="I46" s="1"/>
      <c r="J46" s="57">
        <v>4966.0</v>
      </c>
      <c r="K46" s="57">
        <v>1.0</v>
      </c>
      <c r="L46" s="57">
        <v>921.0</v>
      </c>
      <c r="M46" s="1"/>
      <c r="N46" s="58">
        <v>1963.0</v>
      </c>
      <c r="O46" s="57">
        <v>5.0</v>
      </c>
      <c r="P46" s="1"/>
      <c r="Q46" s="1"/>
      <c r="R46" s="46"/>
      <c r="S46" s="1"/>
      <c r="T46" s="1"/>
      <c r="U46" s="1"/>
      <c r="V46" s="43"/>
    </row>
    <row r="47" ht="18.75" customHeight="1">
      <c r="A47" s="1"/>
      <c r="B47" s="50" t="s">
        <v>91</v>
      </c>
      <c r="C47" s="57">
        <v>5.0</v>
      </c>
      <c r="D47" s="1"/>
      <c r="E47" s="1"/>
      <c r="F47" s="50" t="s">
        <v>77</v>
      </c>
      <c r="G47" s="57">
        <v>28.0</v>
      </c>
      <c r="H47" s="1"/>
      <c r="I47" s="1"/>
      <c r="J47" s="57">
        <v>4572.0</v>
      </c>
      <c r="K47" s="57">
        <v>1.0</v>
      </c>
      <c r="L47" s="57">
        <v>921.0</v>
      </c>
      <c r="M47" s="1"/>
      <c r="N47" s="58">
        <v>1964.0</v>
      </c>
      <c r="O47" s="57">
        <v>6.0</v>
      </c>
      <c r="P47" s="1"/>
      <c r="Q47" s="1"/>
      <c r="R47" s="46"/>
      <c r="S47" s="1"/>
      <c r="T47" s="1"/>
      <c r="U47" s="1"/>
      <c r="V47" s="43"/>
    </row>
    <row r="48" ht="18.75" customHeight="1">
      <c r="A48" s="1"/>
      <c r="B48" s="50" t="s">
        <v>166</v>
      </c>
      <c r="C48" s="57">
        <v>4.0</v>
      </c>
      <c r="D48" s="1"/>
      <c r="E48" s="1"/>
      <c r="F48" s="50" t="s">
        <v>321</v>
      </c>
      <c r="G48" s="57">
        <v>1.0</v>
      </c>
      <c r="H48" s="1"/>
      <c r="I48" s="1"/>
      <c r="J48" s="57">
        <v>4622.0</v>
      </c>
      <c r="K48" s="57">
        <v>1.0</v>
      </c>
      <c r="L48" s="57">
        <v>909.0</v>
      </c>
      <c r="M48" s="1"/>
      <c r="N48" s="58">
        <v>1965.0</v>
      </c>
      <c r="O48" s="57">
        <v>11.0</v>
      </c>
      <c r="P48" s="1"/>
      <c r="Q48" s="1"/>
      <c r="R48" s="46"/>
      <c r="S48" s="1"/>
      <c r="T48" s="1"/>
      <c r="U48" s="1"/>
      <c r="V48" s="43"/>
    </row>
    <row r="49" ht="18.75" customHeight="1">
      <c r="A49" s="1"/>
      <c r="B49" s="50" t="s">
        <v>371</v>
      </c>
      <c r="C49" s="57">
        <v>1.0</v>
      </c>
      <c r="D49" s="1"/>
      <c r="E49" s="1"/>
      <c r="F49" s="50" t="s">
        <v>248</v>
      </c>
      <c r="G49" s="57">
        <v>1.0</v>
      </c>
      <c r="H49" s="1"/>
      <c r="I49" s="1"/>
      <c r="J49" s="57">
        <v>4169.0</v>
      </c>
      <c r="K49" s="57">
        <v>1.0</v>
      </c>
      <c r="L49" s="57">
        <v>896.0</v>
      </c>
      <c r="M49" s="1"/>
      <c r="N49" s="58">
        <v>1966.0</v>
      </c>
      <c r="O49" s="57">
        <v>6.0</v>
      </c>
      <c r="P49" s="1"/>
      <c r="Q49" s="1"/>
      <c r="R49" s="46"/>
      <c r="S49" s="1"/>
      <c r="T49" s="1"/>
      <c r="U49" s="1"/>
      <c r="V49" s="43"/>
    </row>
    <row r="50" ht="18.75" customHeight="1">
      <c r="A50" s="1"/>
      <c r="B50" s="50" t="s">
        <v>237</v>
      </c>
      <c r="C50" s="57">
        <v>1.0</v>
      </c>
      <c r="D50" s="1"/>
      <c r="E50" s="1"/>
      <c r="F50" s="50" t="s">
        <v>126</v>
      </c>
      <c r="G50" s="57">
        <v>2.0</v>
      </c>
      <c r="H50" s="1"/>
      <c r="I50" s="1"/>
      <c r="J50" s="57">
        <v>3286.0</v>
      </c>
      <c r="K50" s="57">
        <v>1.0</v>
      </c>
      <c r="L50" s="57">
        <v>890.0</v>
      </c>
      <c r="M50" s="1"/>
      <c r="N50" s="58">
        <v>1967.0</v>
      </c>
      <c r="O50" s="57">
        <v>5.0</v>
      </c>
      <c r="P50" s="1"/>
      <c r="Q50" s="1"/>
      <c r="R50" s="46"/>
      <c r="S50" s="1"/>
      <c r="T50" s="1"/>
      <c r="U50" s="1"/>
      <c r="V50" s="43"/>
    </row>
    <row r="51" ht="18.75" customHeight="1">
      <c r="A51" s="1"/>
      <c r="B51" s="61" t="s">
        <v>414</v>
      </c>
      <c r="C51" s="63">
        <v>300.0</v>
      </c>
      <c r="D51" s="1"/>
      <c r="E51" s="1"/>
      <c r="F51" s="50" t="s">
        <v>322</v>
      </c>
      <c r="G51" s="57">
        <v>1.0</v>
      </c>
      <c r="H51" s="1"/>
      <c r="I51" s="1"/>
      <c r="J51" s="57">
        <v>4300.0</v>
      </c>
      <c r="K51" s="57">
        <v>1.0</v>
      </c>
      <c r="L51" s="57">
        <v>886.0</v>
      </c>
      <c r="M51" s="1"/>
      <c r="N51" s="58">
        <v>1968.0</v>
      </c>
      <c r="O51" s="57">
        <v>5.0</v>
      </c>
      <c r="P51" s="1"/>
      <c r="Q51" s="1"/>
      <c r="R51" s="46"/>
      <c r="S51" s="1"/>
      <c r="T51" s="1"/>
      <c r="U51" s="1"/>
      <c r="V51" s="43"/>
    </row>
    <row r="52" ht="18.75" customHeight="1">
      <c r="A52" s="1"/>
      <c r="B52" s="1"/>
      <c r="C52" s="46"/>
      <c r="D52" s="1"/>
      <c r="E52" s="1"/>
      <c r="F52" s="65" t="s">
        <v>210</v>
      </c>
      <c r="G52" s="66">
        <v>1.0</v>
      </c>
      <c r="H52" s="1"/>
      <c r="I52" s="1"/>
      <c r="J52" s="57">
        <v>4918.0</v>
      </c>
      <c r="K52" s="57">
        <v>1.0</v>
      </c>
      <c r="L52" s="57">
        <v>883.0</v>
      </c>
      <c r="M52" s="1"/>
      <c r="N52" s="58">
        <v>1969.0</v>
      </c>
      <c r="O52" s="57">
        <v>10.0</v>
      </c>
      <c r="P52" s="1"/>
      <c r="Q52" s="1"/>
      <c r="R52" s="46"/>
      <c r="S52" s="1"/>
      <c r="T52" s="1"/>
      <c r="U52" s="1"/>
      <c r="V52" s="43"/>
    </row>
    <row r="53" ht="18.75" customHeight="1">
      <c r="A53" s="1"/>
      <c r="B53" s="1"/>
      <c r="C53" s="46"/>
      <c r="D53" s="1"/>
      <c r="E53" s="1"/>
      <c r="F53" s="50" t="s">
        <v>245</v>
      </c>
      <c r="G53" s="57">
        <v>1.0</v>
      </c>
      <c r="H53" s="1"/>
      <c r="I53" s="1"/>
      <c r="J53" s="57">
        <v>3675.0</v>
      </c>
      <c r="K53" s="57">
        <v>1.0</v>
      </c>
      <c r="L53" s="57">
        <v>882.0</v>
      </c>
      <c r="M53" s="1"/>
      <c r="N53" s="58">
        <v>1970.0</v>
      </c>
      <c r="O53" s="57">
        <v>6.0</v>
      </c>
      <c r="P53" s="1"/>
      <c r="Q53" s="1"/>
      <c r="R53" s="46"/>
      <c r="S53" s="1"/>
      <c r="T53" s="1"/>
      <c r="U53" s="1"/>
      <c r="V53" s="43"/>
    </row>
    <row r="54" ht="18.75" customHeight="1">
      <c r="A54" s="1"/>
      <c r="B54" s="1"/>
      <c r="C54" s="46"/>
      <c r="D54" s="1"/>
      <c r="E54" s="1"/>
      <c r="F54" s="50" t="s">
        <v>329</v>
      </c>
      <c r="G54" s="57">
        <v>1.0</v>
      </c>
      <c r="H54" s="1"/>
      <c r="I54" s="1"/>
      <c r="J54" s="57">
        <v>3564.0</v>
      </c>
      <c r="K54" s="57">
        <v>1.0</v>
      </c>
      <c r="L54" s="57">
        <v>870.0</v>
      </c>
      <c r="M54" s="1"/>
      <c r="N54" s="58">
        <v>1971.0</v>
      </c>
      <c r="O54" s="57">
        <v>8.0</v>
      </c>
      <c r="P54" s="1"/>
      <c r="Q54" s="1"/>
      <c r="R54" s="46"/>
      <c r="S54" s="1"/>
      <c r="T54" s="1"/>
      <c r="U54" s="1"/>
      <c r="V54" s="43"/>
    </row>
    <row r="55" ht="18.75" customHeight="1">
      <c r="A55" s="1"/>
      <c r="B55" s="1"/>
      <c r="C55" s="46"/>
      <c r="D55" s="1"/>
      <c r="E55" s="1"/>
      <c r="F55" s="50" t="s">
        <v>313</v>
      </c>
      <c r="G55" s="57">
        <v>1.0</v>
      </c>
      <c r="H55" s="1"/>
      <c r="I55" s="1"/>
      <c r="J55" s="57">
        <v>4152.0</v>
      </c>
      <c r="K55" s="57">
        <v>1.0</v>
      </c>
      <c r="L55" s="57">
        <v>869.0</v>
      </c>
      <c r="M55" s="1"/>
      <c r="N55" s="58">
        <v>1972.0</v>
      </c>
      <c r="O55" s="57">
        <v>7.0</v>
      </c>
      <c r="P55" s="1"/>
      <c r="Q55" s="1"/>
      <c r="R55" s="46"/>
      <c r="S55" s="1"/>
      <c r="T55" s="1"/>
      <c r="U55" s="1"/>
      <c r="V55" s="43"/>
    </row>
    <row r="56" ht="18.75" customHeight="1">
      <c r="A56" s="1"/>
      <c r="B56" s="1"/>
      <c r="C56" s="46"/>
      <c r="D56" s="1"/>
      <c r="E56" s="1"/>
      <c r="F56" s="50" t="s">
        <v>229</v>
      </c>
      <c r="G56" s="57">
        <v>1.0</v>
      </c>
      <c r="H56" s="1"/>
      <c r="I56" s="1"/>
      <c r="J56" s="57">
        <v>3868.0</v>
      </c>
      <c r="K56" s="57">
        <v>1.0</v>
      </c>
      <c r="L56" s="57">
        <v>867.0</v>
      </c>
      <c r="M56" s="1"/>
      <c r="N56" s="58">
        <v>1973.0</v>
      </c>
      <c r="O56" s="57">
        <v>6.0</v>
      </c>
      <c r="P56" s="1"/>
      <c r="Q56" s="1"/>
      <c r="R56" s="46"/>
      <c r="S56" s="1"/>
      <c r="T56" s="1"/>
      <c r="U56" s="1"/>
      <c r="V56" s="43"/>
    </row>
    <row r="57" ht="18.75" customHeight="1">
      <c r="A57" s="1"/>
      <c r="B57" s="1"/>
      <c r="C57" s="46"/>
      <c r="D57" s="1"/>
      <c r="E57" s="1"/>
      <c r="F57" s="50" t="s">
        <v>155</v>
      </c>
      <c r="G57" s="57">
        <v>1.0</v>
      </c>
      <c r="H57" s="1"/>
      <c r="I57" s="1"/>
      <c r="J57" s="57">
        <v>2322.0</v>
      </c>
      <c r="K57" s="57">
        <v>1.0</v>
      </c>
      <c r="L57" s="57">
        <v>867.0</v>
      </c>
      <c r="M57" s="1"/>
      <c r="N57" s="58">
        <v>1974.0</v>
      </c>
      <c r="O57" s="57">
        <v>6.0</v>
      </c>
      <c r="P57" s="1"/>
      <c r="Q57" s="1"/>
      <c r="R57" s="46"/>
      <c r="S57" s="1"/>
      <c r="T57" s="1"/>
      <c r="U57" s="1"/>
      <c r="V57" s="43"/>
    </row>
    <row r="58" ht="18.75" customHeight="1">
      <c r="A58" s="1"/>
      <c r="B58" s="1"/>
      <c r="C58" s="46"/>
      <c r="D58" s="1"/>
      <c r="E58" s="1"/>
      <c r="F58" s="50" t="s">
        <v>373</v>
      </c>
      <c r="G58" s="57">
        <v>1.0</v>
      </c>
      <c r="H58" s="1"/>
      <c r="I58" s="1"/>
      <c r="J58" s="57">
        <v>5243.0</v>
      </c>
      <c r="K58" s="57">
        <v>1.0</v>
      </c>
      <c r="L58" s="57">
        <v>856.0</v>
      </c>
      <c r="M58" s="1"/>
      <c r="N58" s="58">
        <v>1975.0</v>
      </c>
      <c r="O58" s="57">
        <v>8.0</v>
      </c>
      <c r="P58" s="1"/>
      <c r="Q58" s="1"/>
      <c r="R58" s="46"/>
      <c r="S58" s="1"/>
      <c r="T58" s="1"/>
      <c r="U58" s="1"/>
      <c r="V58" s="43"/>
    </row>
    <row r="59" ht="18.75" customHeight="1">
      <c r="A59" s="1"/>
      <c r="B59" s="1"/>
      <c r="C59" s="46"/>
      <c r="D59" s="1"/>
      <c r="E59" s="1"/>
      <c r="F59" s="61" t="s">
        <v>414</v>
      </c>
      <c r="G59" s="63">
        <v>52.0</v>
      </c>
      <c r="H59" s="1"/>
      <c r="I59" s="1"/>
      <c r="J59" s="57">
        <v>3383.0</v>
      </c>
      <c r="K59" s="57">
        <v>1.0</v>
      </c>
      <c r="L59" s="57">
        <v>854.0</v>
      </c>
      <c r="M59" s="1"/>
      <c r="N59" s="58">
        <v>1976.0</v>
      </c>
      <c r="O59" s="57">
        <v>8.0</v>
      </c>
      <c r="P59" s="1"/>
      <c r="Q59" s="1"/>
      <c r="R59" s="46"/>
      <c r="S59" s="1"/>
      <c r="T59" s="1"/>
      <c r="U59" s="1"/>
      <c r="V59" s="43"/>
    </row>
    <row r="60" ht="18.75" customHeight="1">
      <c r="A60" s="1"/>
      <c r="B60" s="1"/>
      <c r="C60" s="46"/>
      <c r="D60" s="1"/>
      <c r="E60" s="1"/>
      <c r="F60" s="1"/>
      <c r="G60" s="46"/>
      <c r="H60" s="1"/>
      <c r="I60" s="1"/>
      <c r="J60" s="57">
        <v>5473.0</v>
      </c>
      <c r="K60" s="57">
        <v>1.0</v>
      </c>
      <c r="L60" s="57">
        <v>853.0</v>
      </c>
      <c r="M60" s="1"/>
      <c r="N60" s="58">
        <v>1977.0</v>
      </c>
      <c r="O60" s="57">
        <v>3.0</v>
      </c>
      <c r="P60" s="1"/>
      <c r="Q60" s="1"/>
      <c r="R60" s="46"/>
      <c r="S60" s="1"/>
      <c r="T60" s="1"/>
      <c r="U60" s="1"/>
      <c r="V60" s="43"/>
    </row>
    <row r="61" ht="18.75" customHeight="1">
      <c r="A61" s="1"/>
      <c r="B61" s="1"/>
      <c r="C61" s="46"/>
      <c r="D61" s="1"/>
      <c r="E61" s="1"/>
      <c r="F61" s="1"/>
      <c r="G61" s="46"/>
      <c r="H61" s="1"/>
      <c r="I61" s="1"/>
      <c r="J61" s="57">
        <v>5529.0</v>
      </c>
      <c r="K61" s="57">
        <v>1.0</v>
      </c>
      <c r="L61" s="57">
        <v>851.0</v>
      </c>
      <c r="M61" s="1"/>
      <c r="N61" s="58">
        <v>1978.0</v>
      </c>
      <c r="O61" s="57">
        <v>7.0</v>
      </c>
      <c r="P61" s="1"/>
      <c r="Q61" s="1"/>
      <c r="R61" s="46"/>
      <c r="S61" s="1"/>
      <c r="T61" s="1"/>
      <c r="U61" s="1"/>
      <c r="V61" s="43"/>
    </row>
    <row r="62" ht="18.75" customHeight="1">
      <c r="A62" s="1"/>
      <c r="B62" s="1"/>
      <c r="C62" s="46"/>
      <c r="D62" s="1"/>
      <c r="E62" s="1"/>
      <c r="F62" s="1"/>
      <c r="G62" s="46"/>
      <c r="H62" s="1"/>
      <c r="I62" s="1"/>
      <c r="J62" s="57">
        <v>4898.0</v>
      </c>
      <c r="K62" s="57">
        <v>1.0</v>
      </c>
      <c r="L62" s="57">
        <v>851.0</v>
      </c>
      <c r="M62" s="1"/>
      <c r="N62" s="58">
        <v>1979.0</v>
      </c>
      <c r="O62" s="57">
        <v>12.0</v>
      </c>
      <c r="P62" s="1"/>
      <c r="Q62" s="1"/>
      <c r="R62" s="46"/>
      <c r="S62" s="1"/>
      <c r="T62" s="1"/>
      <c r="U62" s="1"/>
      <c r="V62" s="43"/>
    </row>
    <row r="63" ht="18.75" customHeight="1">
      <c r="A63" s="1"/>
      <c r="B63" s="1"/>
      <c r="C63" s="46"/>
      <c r="D63" s="1"/>
      <c r="E63" s="1"/>
      <c r="F63" s="1"/>
      <c r="G63" s="46"/>
      <c r="H63" s="1"/>
      <c r="I63" s="1"/>
      <c r="J63" s="57">
        <v>3192.0</v>
      </c>
      <c r="K63" s="57">
        <v>1.0</v>
      </c>
      <c r="L63" s="57">
        <v>845.0</v>
      </c>
      <c r="M63" s="1"/>
      <c r="N63" s="58">
        <v>1980.0</v>
      </c>
      <c r="O63" s="57">
        <v>2.0</v>
      </c>
      <c r="P63" s="1"/>
      <c r="Q63" s="1"/>
      <c r="R63" s="46"/>
      <c r="S63" s="1"/>
      <c r="T63" s="1"/>
      <c r="U63" s="1"/>
      <c r="V63" s="43"/>
    </row>
    <row r="64" ht="18.75" customHeight="1">
      <c r="A64" s="1"/>
      <c r="B64" s="1"/>
      <c r="C64" s="46"/>
      <c r="D64" s="1"/>
      <c r="E64" s="1"/>
      <c r="F64" s="1"/>
      <c r="G64" s="46"/>
      <c r="H64" s="1"/>
      <c r="I64" s="1"/>
      <c r="J64" s="57">
        <v>5356.0</v>
      </c>
      <c r="K64" s="57">
        <v>1.0</v>
      </c>
      <c r="L64" s="57">
        <v>833.0</v>
      </c>
      <c r="M64" s="1"/>
      <c r="N64" s="58">
        <v>1981.0</v>
      </c>
      <c r="O64" s="57">
        <v>6.0</v>
      </c>
      <c r="P64" s="1"/>
      <c r="Q64" s="1"/>
      <c r="R64" s="46"/>
      <c r="S64" s="1"/>
      <c r="T64" s="1"/>
      <c r="U64" s="1"/>
      <c r="V64" s="43"/>
    </row>
    <row r="65" ht="18.75" customHeight="1">
      <c r="A65" s="1"/>
      <c r="B65" s="1"/>
      <c r="C65" s="46"/>
      <c r="D65" s="1"/>
      <c r="E65" s="1"/>
      <c r="F65" s="1"/>
      <c r="G65" s="46"/>
      <c r="H65" s="1"/>
      <c r="I65" s="1"/>
      <c r="J65" s="57">
        <v>4885.0</v>
      </c>
      <c r="K65" s="57">
        <v>1.0</v>
      </c>
      <c r="L65" s="57">
        <v>832.0</v>
      </c>
      <c r="M65" s="1"/>
      <c r="N65" s="58">
        <v>1982.0</v>
      </c>
      <c r="O65" s="57">
        <v>7.0</v>
      </c>
      <c r="P65" s="1"/>
      <c r="Q65" s="1"/>
      <c r="R65" s="46"/>
      <c r="S65" s="1"/>
      <c r="T65" s="1"/>
      <c r="U65" s="1"/>
      <c r="V65" s="43"/>
    </row>
    <row r="66" ht="18.75" customHeight="1">
      <c r="A66" s="1"/>
      <c r="B66" s="1"/>
      <c r="C66" s="46"/>
      <c r="D66" s="1"/>
      <c r="E66" s="1"/>
      <c r="F66" s="1"/>
      <c r="G66" s="46"/>
      <c r="H66" s="1"/>
      <c r="I66" s="1"/>
      <c r="J66" s="57">
        <v>5307.0</v>
      </c>
      <c r="K66" s="57">
        <v>1.0</v>
      </c>
      <c r="L66" s="57">
        <v>831.0</v>
      </c>
      <c r="M66" s="1"/>
      <c r="N66" s="58">
        <v>1983.0</v>
      </c>
      <c r="O66" s="57">
        <v>8.0</v>
      </c>
      <c r="P66" s="1"/>
      <c r="Q66" s="1"/>
      <c r="R66" s="46"/>
      <c r="S66" s="1"/>
      <c r="T66" s="1"/>
      <c r="U66" s="1"/>
      <c r="V66" s="43"/>
    </row>
    <row r="67" ht="18.75" customHeight="1">
      <c r="A67" s="1"/>
      <c r="B67" s="1"/>
      <c r="C67" s="46"/>
      <c r="D67" s="1"/>
      <c r="E67" s="1"/>
      <c r="F67" s="1"/>
      <c r="G67" s="46"/>
      <c r="H67" s="1"/>
      <c r="I67" s="1"/>
      <c r="J67" s="57">
        <v>2772.0</v>
      </c>
      <c r="K67" s="57">
        <v>1.0</v>
      </c>
      <c r="L67" s="57">
        <v>830.0</v>
      </c>
      <c r="M67" s="1"/>
      <c r="N67" s="58">
        <v>1984.0</v>
      </c>
      <c r="O67" s="57">
        <v>6.0</v>
      </c>
      <c r="P67" s="1"/>
      <c r="Q67" s="1"/>
      <c r="R67" s="46"/>
      <c r="S67" s="1"/>
      <c r="T67" s="1"/>
      <c r="U67" s="1"/>
      <c r="V67" s="43"/>
    </row>
    <row r="68" ht="18.75" customHeight="1">
      <c r="A68" s="1"/>
      <c r="B68" s="1"/>
      <c r="C68" s="46"/>
      <c r="D68" s="1"/>
      <c r="E68" s="1"/>
      <c r="F68" s="1"/>
      <c r="G68" s="46"/>
      <c r="H68" s="1"/>
      <c r="I68" s="1"/>
      <c r="J68" s="57">
        <v>2656.0</v>
      </c>
      <c r="K68" s="57">
        <v>1.0</v>
      </c>
      <c r="L68" s="57">
        <v>829.0</v>
      </c>
      <c r="M68" s="1"/>
      <c r="N68" s="58">
        <v>1985.0</v>
      </c>
      <c r="O68" s="57">
        <v>5.0</v>
      </c>
      <c r="P68" s="1"/>
      <c r="Q68" s="1"/>
      <c r="R68" s="46"/>
      <c r="S68" s="1"/>
      <c r="T68" s="1"/>
      <c r="U68" s="1"/>
      <c r="V68" s="43"/>
    </row>
    <row r="69" ht="18.75" customHeight="1">
      <c r="A69" s="1"/>
      <c r="B69" s="1"/>
      <c r="C69" s="46"/>
      <c r="D69" s="1"/>
      <c r="E69" s="1"/>
      <c r="F69" s="1"/>
      <c r="G69" s="46"/>
      <c r="H69" s="1"/>
      <c r="I69" s="1"/>
      <c r="J69" s="57">
        <v>5296.0</v>
      </c>
      <c r="K69" s="57">
        <v>1.0</v>
      </c>
      <c r="L69" s="57">
        <v>807.0</v>
      </c>
      <c r="M69" s="1"/>
      <c r="N69" s="58">
        <v>1986.0</v>
      </c>
      <c r="O69" s="57">
        <v>10.0</v>
      </c>
      <c r="P69" s="1"/>
      <c r="Q69" s="1"/>
      <c r="R69" s="46"/>
      <c r="S69" s="1"/>
      <c r="T69" s="1"/>
      <c r="U69" s="1"/>
      <c r="V69" s="43"/>
    </row>
    <row r="70" ht="18.75" customHeight="1">
      <c r="A70" s="1"/>
      <c r="B70" s="1"/>
      <c r="C70" s="46"/>
      <c r="D70" s="1"/>
      <c r="E70" s="1"/>
      <c r="F70" s="1"/>
      <c r="G70" s="46"/>
      <c r="H70" s="1"/>
      <c r="I70" s="1"/>
      <c r="J70" s="57">
        <v>2838.0</v>
      </c>
      <c r="K70" s="57">
        <v>1.0</v>
      </c>
      <c r="L70" s="57">
        <v>804.0</v>
      </c>
      <c r="M70" s="1"/>
      <c r="N70" s="58">
        <v>1987.0</v>
      </c>
      <c r="O70" s="57">
        <v>7.0</v>
      </c>
      <c r="P70" s="1"/>
      <c r="Q70" s="1"/>
      <c r="R70" s="46"/>
      <c r="S70" s="1"/>
      <c r="T70" s="1"/>
      <c r="U70" s="1"/>
      <c r="V70" s="43"/>
    </row>
    <row r="71" ht="18.75" customHeight="1">
      <c r="A71" s="1"/>
      <c r="B71" s="1"/>
      <c r="C71" s="46"/>
      <c r="D71" s="1"/>
      <c r="E71" s="1"/>
      <c r="F71" s="1"/>
      <c r="G71" s="46"/>
      <c r="H71" s="1"/>
      <c r="I71" s="1"/>
      <c r="J71" s="57">
        <v>3032.0</v>
      </c>
      <c r="K71" s="57">
        <v>1.0</v>
      </c>
      <c r="L71" s="57">
        <v>803.0</v>
      </c>
      <c r="M71" s="1"/>
      <c r="N71" s="58">
        <v>1988.0</v>
      </c>
      <c r="O71" s="57">
        <v>6.0</v>
      </c>
      <c r="P71" s="1"/>
      <c r="Q71" s="1"/>
      <c r="R71" s="46"/>
      <c r="S71" s="1"/>
      <c r="T71" s="1"/>
      <c r="U71" s="1"/>
      <c r="V71" s="43"/>
    </row>
    <row r="72" ht="18.75" customHeight="1">
      <c r="A72" s="1"/>
      <c r="B72" s="1"/>
      <c r="C72" s="46"/>
      <c r="D72" s="1"/>
      <c r="E72" s="1"/>
      <c r="F72" s="1"/>
      <c r="G72" s="46"/>
      <c r="H72" s="1"/>
      <c r="I72" s="1"/>
      <c r="J72" s="57">
        <v>2681.0</v>
      </c>
      <c r="K72" s="57">
        <v>1.0</v>
      </c>
      <c r="L72" s="57">
        <v>802.0</v>
      </c>
      <c r="M72" s="1"/>
      <c r="N72" s="58">
        <v>1989.0</v>
      </c>
      <c r="O72" s="57">
        <v>6.0</v>
      </c>
      <c r="P72" s="1"/>
      <c r="Q72" s="1"/>
      <c r="R72" s="46"/>
      <c r="S72" s="1"/>
      <c r="T72" s="1"/>
      <c r="U72" s="1"/>
      <c r="V72" s="43"/>
    </row>
    <row r="73" ht="18.75" customHeight="1">
      <c r="A73" s="1"/>
      <c r="B73" s="1"/>
      <c r="C73" s="46"/>
      <c r="D73" s="1"/>
      <c r="E73" s="1"/>
      <c r="F73" s="1"/>
      <c r="G73" s="46"/>
      <c r="H73" s="1"/>
      <c r="I73" s="1"/>
      <c r="J73" s="57">
        <v>4033.0</v>
      </c>
      <c r="K73" s="57">
        <v>1.0</v>
      </c>
      <c r="L73" s="57">
        <v>797.0</v>
      </c>
      <c r="M73" s="1"/>
      <c r="N73" s="58">
        <v>1990.0</v>
      </c>
      <c r="O73" s="57">
        <v>8.0</v>
      </c>
      <c r="P73" s="1"/>
      <c r="Q73" s="1"/>
      <c r="R73" s="46"/>
      <c r="S73" s="1"/>
      <c r="T73" s="1"/>
      <c r="U73" s="1"/>
      <c r="V73" s="43"/>
    </row>
    <row r="74" ht="18.75" customHeight="1">
      <c r="A74" s="1"/>
      <c r="B74" s="1"/>
      <c r="C74" s="46"/>
      <c r="D74" s="1"/>
      <c r="E74" s="1"/>
      <c r="F74" s="1"/>
      <c r="G74" s="46"/>
      <c r="H74" s="1"/>
      <c r="I74" s="1"/>
      <c r="J74" s="57">
        <v>4620.0</v>
      </c>
      <c r="K74" s="57">
        <v>1.0</v>
      </c>
      <c r="L74" s="57">
        <v>794.0</v>
      </c>
      <c r="M74" s="1"/>
      <c r="N74" s="58">
        <v>1991.0</v>
      </c>
      <c r="O74" s="57">
        <v>8.0</v>
      </c>
      <c r="P74" s="1"/>
      <c r="Q74" s="1"/>
      <c r="R74" s="46"/>
      <c r="S74" s="1"/>
      <c r="T74" s="1"/>
      <c r="U74" s="1"/>
      <c r="V74" s="43"/>
    </row>
    <row r="75" ht="18.75" customHeight="1">
      <c r="A75" s="1"/>
      <c r="B75" s="1"/>
      <c r="C75" s="46"/>
      <c r="D75" s="1"/>
      <c r="E75" s="1"/>
      <c r="F75" s="1"/>
      <c r="G75" s="46"/>
      <c r="H75" s="1"/>
      <c r="I75" s="1"/>
      <c r="J75" s="57">
        <v>5477.0</v>
      </c>
      <c r="K75" s="57">
        <v>1.0</v>
      </c>
      <c r="L75" s="57">
        <v>787.0</v>
      </c>
      <c r="M75" s="1"/>
      <c r="N75" s="58">
        <v>1992.0</v>
      </c>
      <c r="O75" s="57">
        <v>6.0</v>
      </c>
      <c r="P75" s="1"/>
      <c r="Q75" s="1"/>
      <c r="R75" s="46"/>
      <c r="S75" s="1"/>
      <c r="T75" s="1"/>
      <c r="U75" s="1"/>
      <c r="V75" s="43"/>
    </row>
    <row r="76" ht="18.75" customHeight="1">
      <c r="A76" s="1"/>
      <c r="B76" s="1"/>
      <c r="C76" s="46"/>
      <c r="D76" s="1"/>
      <c r="E76" s="1"/>
      <c r="F76" s="1"/>
      <c r="G76" s="46"/>
      <c r="H76" s="1"/>
      <c r="I76" s="1"/>
      <c r="J76" s="57">
        <v>4071.0</v>
      </c>
      <c r="K76" s="57">
        <v>1.0</v>
      </c>
      <c r="L76" s="57">
        <v>784.0</v>
      </c>
      <c r="M76" s="1"/>
      <c r="N76" s="58">
        <v>1993.0</v>
      </c>
      <c r="O76" s="57">
        <v>7.0</v>
      </c>
      <c r="P76" s="1"/>
      <c r="Q76" s="1"/>
      <c r="R76" s="46"/>
      <c r="S76" s="1"/>
      <c r="T76" s="1"/>
      <c r="U76" s="1"/>
      <c r="V76" s="43"/>
    </row>
    <row r="77" ht="18.75" customHeight="1">
      <c r="A77" s="1"/>
      <c r="B77" s="1"/>
      <c r="C77" s="46"/>
      <c r="D77" s="1"/>
      <c r="E77" s="1"/>
      <c r="F77" s="1"/>
      <c r="G77" s="46"/>
      <c r="H77" s="1"/>
      <c r="I77" s="1"/>
      <c r="J77" s="57">
        <v>2482.0</v>
      </c>
      <c r="K77" s="57">
        <v>1.0</v>
      </c>
      <c r="L77" s="57">
        <v>780.0</v>
      </c>
      <c r="M77" s="1"/>
      <c r="N77" s="58">
        <v>1994.0</v>
      </c>
      <c r="O77" s="57">
        <v>8.0</v>
      </c>
      <c r="P77" s="1"/>
      <c r="Q77" s="1"/>
      <c r="R77" s="46"/>
      <c r="S77" s="1"/>
      <c r="T77" s="1"/>
      <c r="U77" s="1"/>
      <c r="V77" s="43"/>
    </row>
    <row r="78" ht="18.75" customHeight="1">
      <c r="A78" s="1"/>
      <c r="B78" s="1"/>
      <c r="C78" s="46"/>
      <c r="D78" s="1"/>
      <c r="E78" s="1"/>
      <c r="F78" s="1"/>
      <c r="G78" s="46"/>
      <c r="H78" s="1"/>
      <c r="I78" s="1"/>
      <c r="J78" s="57">
        <v>3539.0</v>
      </c>
      <c r="K78" s="57">
        <v>1.0</v>
      </c>
      <c r="L78" s="57">
        <v>780.0</v>
      </c>
      <c r="M78" s="1"/>
      <c r="N78" s="58">
        <v>1995.0</v>
      </c>
      <c r="O78" s="57">
        <v>11.0</v>
      </c>
      <c r="P78" s="1"/>
      <c r="Q78" s="1"/>
      <c r="R78" s="46"/>
      <c r="S78" s="1"/>
      <c r="T78" s="1"/>
      <c r="U78" s="1"/>
      <c r="V78" s="43"/>
    </row>
    <row r="79" ht="18.75" customHeight="1">
      <c r="A79" s="1"/>
      <c r="B79" s="1"/>
      <c r="C79" s="46"/>
      <c r="D79" s="1"/>
      <c r="E79" s="1"/>
      <c r="F79" s="1"/>
      <c r="G79" s="46"/>
      <c r="H79" s="1"/>
      <c r="I79" s="1"/>
      <c r="J79" s="57">
        <v>5491.0</v>
      </c>
      <c r="K79" s="57">
        <v>1.0</v>
      </c>
      <c r="L79" s="57">
        <v>779.0</v>
      </c>
      <c r="M79" s="1"/>
      <c r="N79" s="64" t="s">
        <v>414</v>
      </c>
      <c r="O79" s="63">
        <v>300.0</v>
      </c>
      <c r="P79" s="1"/>
      <c r="Q79" s="1"/>
      <c r="R79" s="46"/>
      <c r="S79" s="1"/>
      <c r="T79" s="1"/>
      <c r="U79" s="1"/>
      <c r="V79" s="43"/>
    </row>
    <row r="80" ht="18.75" customHeight="1">
      <c r="A80" s="1"/>
      <c r="B80" s="1"/>
      <c r="C80" s="46"/>
      <c r="D80" s="1"/>
      <c r="E80" s="1"/>
      <c r="F80" s="1"/>
      <c r="G80" s="46"/>
      <c r="H80" s="1"/>
      <c r="I80" s="1"/>
      <c r="J80" s="57">
        <v>4596.0</v>
      </c>
      <c r="K80" s="57">
        <v>1.0</v>
      </c>
      <c r="L80" s="57">
        <v>779.0</v>
      </c>
      <c r="M80" s="1"/>
      <c r="N80" s="47"/>
      <c r="O80" s="46"/>
      <c r="P80" s="1"/>
      <c r="Q80" s="1"/>
      <c r="R80" s="46"/>
      <c r="S80" s="1"/>
      <c r="T80" s="1"/>
      <c r="U80" s="1"/>
      <c r="V80" s="43"/>
    </row>
    <row r="81" ht="18.75" customHeight="1">
      <c r="A81" s="1"/>
      <c r="B81" s="1"/>
      <c r="C81" s="46"/>
      <c r="D81" s="1"/>
      <c r="E81" s="1"/>
      <c r="F81" s="1"/>
      <c r="G81" s="46"/>
      <c r="H81" s="1"/>
      <c r="I81" s="1"/>
      <c r="J81" s="57">
        <v>2514.0</v>
      </c>
      <c r="K81" s="57">
        <v>1.0</v>
      </c>
      <c r="L81" s="57">
        <v>776.0</v>
      </c>
      <c r="M81" s="1"/>
      <c r="N81" s="47"/>
      <c r="O81" s="46"/>
      <c r="P81" s="1"/>
      <c r="Q81" s="1"/>
      <c r="R81" s="46"/>
      <c r="S81" s="1"/>
      <c r="T81" s="1"/>
      <c r="U81" s="1"/>
      <c r="V81" s="43"/>
    </row>
    <row r="82" ht="18.75" customHeight="1">
      <c r="A82" s="1"/>
      <c r="B82" s="1"/>
      <c r="C82" s="46"/>
      <c r="D82" s="1"/>
      <c r="E82" s="1"/>
      <c r="F82" s="1"/>
      <c r="G82" s="46"/>
      <c r="H82" s="1"/>
      <c r="I82" s="1"/>
      <c r="J82" s="57">
        <v>3215.0</v>
      </c>
      <c r="K82" s="57">
        <v>1.0</v>
      </c>
      <c r="L82" s="57">
        <v>771.0</v>
      </c>
      <c r="M82" s="1"/>
      <c r="N82" s="47"/>
      <c r="O82" s="46"/>
      <c r="P82" s="1"/>
      <c r="Q82" s="1"/>
      <c r="R82" s="46"/>
      <c r="S82" s="1"/>
      <c r="T82" s="1"/>
      <c r="U82" s="1"/>
      <c r="V82" s="43"/>
    </row>
    <row r="83" ht="18.75" customHeight="1">
      <c r="A83" s="1"/>
      <c r="B83" s="1"/>
      <c r="C83" s="46"/>
      <c r="D83" s="1"/>
      <c r="E83" s="1"/>
      <c r="F83" s="1"/>
      <c r="G83" s="46"/>
      <c r="H83" s="1"/>
      <c r="I83" s="1"/>
      <c r="J83" s="57">
        <v>5325.0</v>
      </c>
      <c r="K83" s="57">
        <v>1.0</v>
      </c>
      <c r="L83" s="57">
        <v>759.0</v>
      </c>
      <c r="M83" s="1"/>
      <c r="N83" s="47"/>
      <c r="O83" s="46"/>
      <c r="P83" s="1"/>
      <c r="Q83" s="1"/>
      <c r="R83" s="46"/>
      <c r="S83" s="1"/>
      <c r="T83" s="1"/>
      <c r="U83" s="1"/>
      <c r="V83" s="43"/>
    </row>
    <row r="84" ht="18.75" customHeight="1">
      <c r="A84" s="1"/>
      <c r="B84" s="1"/>
      <c r="C84" s="46"/>
      <c r="D84" s="1"/>
      <c r="E84" s="1"/>
      <c r="F84" s="1"/>
      <c r="G84" s="46"/>
      <c r="H84" s="1"/>
      <c r="I84" s="1"/>
      <c r="J84" s="57">
        <v>4545.0</v>
      </c>
      <c r="K84" s="57">
        <v>1.0</v>
      </c>
      <c r="L84" s="57">
        <v>758.0</v>
      </c>
      <c r="M84" s="1"/>
      <c r="N84" s="47"/>
      <c r="O84" s="46"/>
      <c r="P84" s="1"/>
      <c r="Q84" s="1"/>
      <c r="R84" s="46"/>
      <c r="S84" s="1"/>
      <c r="T84" s="1"/>
      <c r="U84" s="1"/>
      <c r="V84" s="43"/>
    </row>
    <row r="85" ht="18.75" customHeight="1">
      <c r="A85" s="1"/>
      <c r="B85" s="1"/>
      <c r="C85" s="46"/>
      <c r="D85" s="1"/>
      <c r="E85" s="1"/>
      <c r="F85" s="1"/>
      <c r="G85" s="46"/>
      <c r="H85" s="1"/>
      <c r="I85" s="1"/>
      <c r="J85" s="57">
        <v>3372.0</v>
      </c>
      <c r="K85" s="57">
        <v>1.0</v>
      </c>
      <c r="L85" s="57">
        <v>749.0</v>
      </c>
      <c r="M85" s="1"/>
      <c r="N85" s="47"/>
      <c r="O85" s="46"/>
      <c r="P85" s="1"/>
      <c r="Q85" s="1"/>
      <c r="R85" s="46"/>
      <c r="S85" s="1"/>
      <c r="T85" s="1"/>
      <c r="U85" s="1"/>
      <c r="V85" s="43"/>
    </row>
    <row r="86" ht="18.75" customHeight="1">
      <c r="A86" s="1"/>
      <c r="B86" s="1"/>
      <c r="C86" s="46"/>
      <c r="D86" s="1"/>
      <c r="E86" s="1"/>
      <c r="F86" s="1"/>
      <c r="G86" s="46"/>
      <c r="H86" s="1"/>
      <c r="I86" s="1"/>
      <c r="J86" s="57">
        <v>5079.0</v>
      </c>
      <c r="K86" s="57">
        <v>1.0</v>
      </c>
      <c r="L86" s="57">
        <v>748.0</v>
      </c>
      <c r="M86" s="1"/>
      <c r="N86" s="47"/>
      <c r="O86" s="46"/>
      <c r="P86" s="1"/>
      <c r="Q86" s="1"/>
      <c r="R86" s="46"/>
      <c r="S86" s="1"/>
      <c r="T86" s="1"/>
      <c r="U86" s="1"/>
      <c r="V86" s="43"/>
    </row>
    <row r="87" ht="18.75" customHeight="1">
      <c r="A87" s="1"/>
      <c r="B87" s="1"/>
      <c r="C87" s="46"/>
      <c r="D87" s="1"/>
      <c r="E87" s="1"/>
      <c r="F87" s="1"/>
      <c r="G87" s="46"/>
      <c r="H87" s="1"/>
      <c r="I87" s="1"/>
      <c r="J87" s="57">
        <v>3552.0</v>
      </c>
      <c r="K87" s="57">
        <v>1.0</v>
      </c>
      <c r="L87" s="57">
        <v>736.0</v>
      </c>
      <c r="M87" s="1"/>
      <c r="N87" s="47"/>
      <c r="O87" s="46"/>
      <c r="P87" s="1"/>
      <c r="Q87" s="1"/>
      <c r="R87" s="46"/>
      <c r="S87" s="1"/>
      <c r="T87" s="1"/>
      <c r="U87" s="1"/>
      <c r="V87" s="43"/>
    </row>
    <row r="88" ht="18.75" customHeight="1">
      <c r="A88" s="1"/>
      <c r="B88" s="1"/>
      <c r="C88" s="46"/>
      <c r="D88" s="1"/>
      <c r="E88" s="1"/>
      <c r="F88" s="1"/>
      <c r="G88" s="46"/>
      <c r="H88" s="1"/>
      <c r="I88" s="1"/>
      <c r="J88" s="57">
        <v>2851.0</v>
      </c>
      <c r="K88" s="57">
        <v>1.0</v>
      </c>
      <c r="L88" s="57">
        <v>735.0</v>
      </c>
      <c r="M88" s="1"/>
      <c r="N88" s="47"/>
      <c r="O88" s="46"/>
      <c r="P88" s="1"/>
      <c r="Q88" s="1"/>
      <c r="R88" s="46"/>
      <c r="S88" s="1"/>
      <c r="T88" s="1"/>
      <c r="U88" s="1"/>
      <c r="V88" s="43"/>
    </row>
    <row r="89" ht="18.75" customHeight="1">
      <c r="A89" s="1"/>
      <c r="B89" s="1"/>
      <c r="C89" s="46"/>
      <c r="D89" s="1"/>
      <c r="E89" s="1"/>
      <c r="F89" s="1"/>
      <c r="G89" s="46"/>
      <c r="H89" s="1"/>
      <c r="I89" s="1"/>
      <c r="J89" s="57">
        <v>3113.0</v>
      </c>
      <c r="K89" s="57">
        <v>1.0</v>
      </c>
      <c r="L89" s="57">
        <v>732.0</v>
      </c>
      <c r="M89" s="1"/>
      <c r="N89" s="47"/>
      <c r="O89" s="46"/>
      <c r="P89" s="1"/>
      <c r="Q89" s="1"/>
      <c r="R89" s="46"/>
      <c r="S89" s="1"/>
      <c r="T89" s="1"/>
      <c r="U89" s="1"/>
      <c r="V89" s="43"/>
    </row>
    <row r="90" ht="18.75" customHeight="1">
      <c r="A90" s="1"/>
      <c r="B90" s="1"/>
      <c r="C90" s="46"/>
      <c r="D90" s="1"/>
      <c r="E90" s="1"/>
      <c r="F90" s="1"/>
      <c r="G90" s="46"/>
      <c r="H90" s="1"/>
      <c r="I90" s="1"/>
      <c r="J90" s="57">
        <v>3363.0</v>
      </c>
      <c r="K90" s="57">
        <v>1.0</v>
      </c>
      <c r="L90" s="57">
        <v>728.0</v>
      </c>
      <c r="M90" s="1"/>
      <c r="N90" s="47"/>
      <c r="O90" s="46"/>
      <c r="P90" s="1"/>
      <c r="Q90" s="1"/>
      <c r="R90" s="46"/>
      <c r="S90" s="1"/>
      <c r="T90" s="1"/>
      <c r="U90" s="1"/>
      <c r="V90" s="43"/>
    </row>
    <row r="91" ht="18.75" customHeight="1">
      <c r="A91" s="1"/>
      <c r="B91" s="1"/>
      <c r="C91" s="46"/>
      <c r="D91" s="1"/>
      <c r="E91" s="1"/>
      <c r="F91" s="1"/>
      <c r="G91" s="46"/>
      <c r="H91" s="1"/>
      <c r="I91" s="1"/>
      <c r="J91" s="57">
        <v>4705.0</v>
      </c>
      <c r="K91" s="57">
        <v>1.0</v>
      </c>
      <c r="L91" s="57">
        <v>718.0</v>
      </c>
      <c r="M91" s="1"/>
      <c r="N91" s="47"/>
      <c r="O91" s="46"/>
      <c r="P91" s="1"/>
      <c r="Q91" s="1"/>
      <c r="R91" s="46"/>
      <c r="S91" s="1"/>
      <c r="T91" s="1"/>
      <c r="U91" s="1"/>
      <c r="V91" s="43"/>
    </row>
    <row r="92" ht="18.75" customHeight="1">
      <c r="A92" s="1"/>
      <c r="B92" s="1"/>
      <c r="C92" s="46"/>
      <c r="D92" s="1"/>
      <c r="E92" s="1"/>
      <c r="F92" s="1"/>
      <c r="G92" s="46"/>
      <c r="H92" s="1"/>
      <c r="I92" s="1"/>
      <c r="J92" s="57">
        <v>5049.0</v>
      </c>
      <c r="K92" s="57">
        <v>1.0</v>
      </c>
      <c r="L92" s="57">
        <v>714.0</v>
      </c>
      <c r="M92" s="1"/>
      <c r="N92" s="47"/>
      <c r="O92" s="46"/>
      <c r="P92" s="1"/>
      <c r="Q92" s="1"/>
      <c r="R92" s="46"/>
      <c r="S92" s="1"/>
      <c r="T92" s="1"/>
      <c r="U92" s="1"/>
      <c r="V92" s="43"/>
    </row>
    <row r="93" ht="18.75" customHeight="1">
      <c r="A93" s="1"/>
      <c r="B93" s="1"/>
      <c r="C93" s="46"/>
      <c r="D93" s="1"/>
      <c r="E93" s="1"/>
      <c r="F93" s="1"/>
      <c r="G93" s="46"/>
      <c r="H93" s="1"/>
      <c r="I93" s="1"/>
      <c r="J93" s="57">
        <v>2572.0</v>
      </c>
      <c r="K93" s="57">
        <v>1.0</v>
      </c>
      <c r="L93" s="57">
        <v>713.0</v>
      </c>
      <c r="M93" s="1"/>
      <c r="N93" s="47"/>
      <c r="O93" s="46"/>
      <c r="P93" s="1"/>
      <c r="Q93" s="1"/>
      <c r="R93" s="46"/>
      <c r="S93" s="1"/>
      <c r="T93" s="1"/>
      <c r="U93" s="1"/>
      <c r="V93" s="43"/>
    </row>
    <row r="94" ht="18.75" customHeight="1">
      <c r="A94" s="1"/>
      <c r="B94" s="1"/>
      <c r="C94" s="46"/>
      <c r="D94" s="1"/>
      <c r="E94" s="1"/>
      <c r="F94" s="1"/>
      <c r="G94" s="46"/>
      <c r="H94" s="1"/>
      <c r="I94" s="1"/>
      <c r="J94" s="57">
        <v>3116.0</v>
      </c>
      <c r="K94" s="57">
        <v>1.0</v>
      </c>
      <c r="L94" s="57">
        <v>713.0</v>
      </c>
      <c r="M94" s="1"/>
      <c r="N94" s="47"/>
      <c r="O94" s="46"/>
      <c r="P94" s="1"/>
      <c r="Q94" s="1"/>
      <c r="R94" s="46"/>
      <c r="S94" s="1"/>
      <c r="T94" s="1"/>
      <c r="U94" s="1"/>
      <c r="V94" s="43"/>
    </row>
    <row r="95" ht="18.75" customHeight="1">
      <c r="A95" s="1"/>
      <c r="B95" s="1"/>
      <c r="C95" s="46"/>
      <c r="D95" s="1"/>
      <c r="E95" s="1"/>
      <c r="F95" s="1"/>
      <c r="G95" s="46"/>
      <c r="H95" s="1"/>
      <c r="I95" s="1"/>
      <c r="J95" s="57">
        <v>4597.0</v>
      </c>
      <c r="K95" s="57">
        <v>1.0</v>
      </c>
      <c r="L95" s="57">
        <v>713.0</v>
      </c>
      <c r="M95" s="1"/>
      <c r="N95" s="47"/>
      <c r="O95" s="46"/>
      <c r="P95" s="1"/>
      <c r="Q95" s="1"/>
      <c r="R95" s="46"/>
      <c r="S95" s="1"/>
      <c r="T95" s="1"/>
      <c r="U95" s="1"/>
      <c r="V95" s="43"/>
    </row>
    <row r="96" ht="18.75" customHeight="1">
      <c r="A96" s="1"/>
      <c r="B96" s="1"/>
      <c r="C96" s="46"/>
      <c r="D96" s="1"/>
      <c r="E96" s="1"/>
      <c r="F96" s="1"/>
      <c r="G96" s="46"/>
      <c r="H96" s="1"/>
      <c r="I96" s="1"/>
      <c r="J96" s="57">
        <v>5054.0</v>
      </c>
      <c r="K96" s="57">
        <v>1.0</v>
      </c>
      <c r="L96" s="57">
        <v>712.0</v>
      </c>
      <c r="M96" s="1"/>
      <c r="N96" s="47"/>
      <c r="O96" s="46"/>
      <c r="P96" s="1"/>
      <c r="Q96" s="1"/>
      <c r="R96" s="46"/>
      <c r="S96" s="1"/>
      <c r="T96" s="1"/>
      <c r="U96" s="1"/>
      <c r="V96" s="43"/>
    </row>
    <row r="97" ht="18.75" customHeight="1">
      <c r="A97" s="1"/>
      <c r="B97" s="1"/>
      <c r="C97" s="46"/>
      <c r="D97" s="1"/>
      <c r="E97" s="1"/>
      <c r="F97" s="1"/>
      <c r="G97" s="46"/>
      <c r="H97" s="1"/>
      <c r="I97" s="1"/>
      <c r="J97" s="57">
        <v>2395.0</v>
      </c>
      <c r="K97" s="57">
        <v>1.0</v>
      </c>
      <c r="L97" s="57">
        <v>709.0</v>
      </c>
      <c r="M97" s="1"/>
      <c r="N97" s="47"/>
      <c r="O97" s="46"/>
      <c r="P97" s="1"/>
      <c r="Q97" s="1"/>
      <c r="R97" s="46"/>
      <c r="S97" s="1"/>
      <c r="T97" s="1"/>
      <c r="U97" s="1"/>
      <c r="V97" s="43"/>
    </row>
    <row r="98" ht="18.75" customHeight="1">
      <c r="A98" s="1"/>
      <c r="B98" s="1"/>
      <c r="C98" s="46"/>
      <c r="D98" s="1"/>
      <c r="E98" s="1"/>
      <c r="F98" s="1"/>
      <c r="G98" s="46"/>
      <c r="H98" s="1"/>
      <c r="I98" s="1"/>
      <c r="J98" s="57">
        <v>5160.0</v>
      </c>
      <c r="K98" s="57">
        <v>1.0</v>
      </c>
      <c r="L98" s="57">
        <v>705.0</v>
      </c>
      <c r="M98" s="1"/>
      <c r="N98" s="47"/>
      <c r="O98" s="46"/>
      <c r="P98" s="1"/>
      <c r="Q98" s="1"/>
      <c r="R98" s="46"/>
      <c r="S98" s="1"/>
      <c r="T98" s="1"/>
      <c r="U98" s="1"/>
      <c r="V98" s="43"/>
    </row>
    <row r="99" ht="18.75" customHeight="1">
      <c r="A99" s="1"/>
      <c r="B99" s="1"/>
      <c r="C99" s="46"/>
      <c r="D99" s="1"/>
      <c r="E99" s="1"/>
      <c r="F99" s="1"/>
      <c r="G99" s="46"/>
      <c r="H99" s="1"/>
      <c r="I99" s="1"/>
      <c r="J99" s="57">
        <v>4660.0</v>
      </c>
      <c r="K99" s="57">
        <v>1.0</v>
      </c>
      <c r="L99" s="57">
        <v>705.0</v>
      </c>
      <c r="M99" s="1"/>
      <c r="N99" s="47"/>
      <c r="O99" s="46"/>
      <c r="P99" s="1"/>
      <c r="Q99" s="1"/>
      <c r="R99" s="46"/>
      <c r="S99" s="1"/>
      <c r="T99" s="1"/>
      <c r="U99" s="1"/>
      <c r="V99" s="43"/>
    </row>
    <row r="100" ht="18.75" customHeight="1">
      <c r="A100" s="1"/>
      <c r="B100" s="1"/>
      <c r="C100" s="46"/>
      <c r="D100" s="1"/>
      <c r="E100" s="1"/>
      <c r="F100" s="1"/>
      <c r="G100" s="46"/>
      <c r="H100" s="1"/>
      <c r="I100" s="1"/>
      <c r="J100" s="57">
        <v>2833.0</v>
      </c>
      <c r="K100" s="57">
        <v>1.0</v>
      </c>
      <c r="L100" s="57">
        <v>701.0</v>
      </c>
      <c r="M100" s="1"/>
      <c r="N100" s="47"/>
      <c r="O100" s="46"/>
      <c r="P100" s="1"/>
      <c r="Q100" s="1"/>
      <c r="R100" s="46"/>
      <c r="S100" s="1"/>
      <c r="T100" s="1"/>
      <c r="U100" s="1"/>
      <c r="V100" s="43"/>
    </row>
    <row r="101" ht="18.75" customHeight="1">
      <c r="A101" s="1"/>
      <c r="B101" s="1"/>
      <c r="C101" s="46"/>
      <c r="D101" s="1"/>
      <c r="E101" s="1"/>
      <c r="F101" s="1"/>
      <c r="G101" s="46"/>
      <c r="H101" s="1"/>
      <c r="I101" s="1"/>
      <c r="J101" s="57">
        <v>5531.0</v>
      </c>
      <c r="K101" s="57">
        <v>1.0</v>
      </c>
      <c r="L101" s="57">
        <v>699.0</v>
      </c>
      <c r="M101" s="1"/>
      <c r="N101" s="47"/>
      <c r="O101" s="46"/>
      <c r="P101" s="1"/>
      <c r="Q101" s="1"/>
      <c r="R101" s="46"/>
      <c r="S101" s="1"/>
      <c r="T101" s="1"/>
      <c r="U101" s="1"/>
      <c r="V101" s="43"/>
    </row>
    <row r="102" ht="18.75" customHeight="1">
      <c r="A102" s="1"/>
      <c r="B102" s="1"/>
      <c r="C102" s="46"/>
      <c r="D102" s="1"/>
      <c r="E102" s="1"/>
      <c r="F102" s="1"/>
      <c r="G102" s="46"/>
      <c r="H102" s="1"/>
      <c r="I102" s="1"/>
      <c r="J102" s="57">
        <v>3753.0</v>
      </c>
      <c r="K102" s="57">
        <v>1.0</v>
      </c>
      <c r="L102" s="57">
        <v>696.0</v>
      </c>
      <c r="M102" s="1"/>
      <c r="N102" s="47"/>
      <c r="O102" s="46"/>
      <c r="P102" s="1"/>
      <c r="Q102" s="1"/>
      <c r="R102" s="46"/>
      <c r="S102" s="1"/>
      <c r="T102" s="1"/>
      <c r="U102" s="1"/>
      <c r="V102" s="43"/>
    </row>
    <row r="103" ht="18.75" customHeight="1">
      <c r="A103" s="1"/>
      <c r="B103" s="1"/>
      <c r="C103" s="46"/>
      <c r="D103" s="1"/>
      <c r="E103" s="1"/>
      <c r="F103" s="1"/>
      <c r="G103" s="46"/>
      <c r="H103" s="1"/>
      <c r="I103" s="1"/>
      <c r="J103" s="57">
        <v>3077.0</v>
      </c>
      <c r="K103" s="57">
        <v>1.0</v>
      </c>
      <c r="L103" s="57">
        <v>692.0</v>
      </c>
      <c r="M103" s="1"/>
      <c r="N103" s="47"/>
      <c r="O103" s="46"/>
      <c r="P103" s="1"/>
      <c r="Q103" s="1"/>
      <c r="R103" s="46"/>
      <c r="S103" s="1"/>
      <c r="T103" s="1"/>
      <c r="U103" s="1"/>
      <c r="V103" s="43"/>
    </row>
    <row r="104" ht="18.75" customHeight="1">
      <c r="A104" s="1"/>
      <c r="B104" s="1"/>
      <c r="C104" s="46"/>
      <c r="D104" s="1"/>
      <c r="E104" s="1"/>
      <c r="F104" s="1"/>
      <c r="G104" s="46"/>
      <c r="H104" s="1"/>
      <c r="I104" s="1"/>
      <c r="J104" s="57">
        <v>2411.0</v>
      </c>
      <c r="K104" s="57">
        <v>1.0</v>
      </c>
      <c r="L104" s="57">
        <v>689.0</v>
      </c>
      <c r="M104" s="1"/>
      <c r="N104" s="47"/>
      <c r="O104" s="46"/>
      <c r="P104" s="1"/>
      <c r="Q104" s="1"/>
      <c r="R104" s="46"/>
      <c r="S104" s="1"/>
      <c r="T104" s="1"/>
      <c r="U104" s="1"/>
      <c r="V104" s="43"/>
    </row>
    <row r="105" ht="18.75" customHeight="1">
      <c r="A105" s="1"/>
      <c r="B105" s="1"/>
      <c r="C105" s="46"/>
      <c r="D105" s="1"/>
      <c r="E105" s="1"/>
      <c r="F105" s="1"/>
      <c r="G105" s="46"/>
      <c r="H105" s="1"/>
      <c r="I105" s="1"/>
      <c r="J105" s="57">
        <v>3604.0</v>
      </c>
      <c r="K105" s="57">
        <v>1.0</v>
      </c>
      <c r="L105" s="57">
        <v>684.0</v>
      </c>
      <c r="M105" s="1"/>
      <c r="N105" s="47"/>
      <c r="O105" s="46"/>
      <c r="P105" s="1"/>
      <c r="Q105" s="1"/>
      <c r="R105" s="46"/>
      <c r="S105" s="1"/>
      <c r="T105" s="1"/>
      <c r="U105" s="1"/>
      <c r="V105" s="43"/>
    </row>
    <row r="106" ht="18.75" customHeight="1">
      <c r="A106" s="1"/>
      <c r="B106" s="1"/>
      <c r="C106" s="46"/>
      <c r="D106" s="1"/>
      <c r="E106" s="1"/>
      <c r="F106" s="1"/>
      <c r="G106" s="46"/>
      <c r="H106" s="1"/>
      <c r="I106" s="1"/>
      <c r="J106" s="57">
        <v>4864.0</v>
      </c>
      <c r="K106" s="57">
        <v>1.0</v>
      </c>
      <c r="L106" s="57">
        <v>682.0</v>
      </c>
      <c r="M106" s="1"/>
      <c r="N106" s="47"/>
      <c r="O106" s="46"/>
      <c r="P106" s="1"/>
      <c r="Q106" s="1"/>
      <c r="R106" s="46"/>
      <c r="S106" s="1"/>
      <c r="T106" s="1"/>
      <c r="U106" s="1"/>
      <c r="V106" s="43"/>
    </row>
    <row r="107" ht="18.75" customHeight="1">
      <c r="A107" s="1"/>
      <c r="B107" s="1"/>
      <c r="C107" s="46"/>
      <c r="D107" s="1"/>
      <c r="E107" s="1"/>
      <c r="F107" s="1"/>
      <c r="G107" s="46"/>
      <c r="H107" s="1"/>
      <c r="I107" s="1"/>
      <c r="J107" s="57">
        <v>4007.0</v>
      </c>
      <c r="K107" s="57">
        <v>1.0</v>
      </c>
      <c r="L107" s="57">
        <v>680.0</v>
      </c>
      <c r="M107" s="1"/>
      <c r="N107" s="47"/>
      <c r="O107" s="46"/>
      <c r="P107" s="1"/>
      <c r="Q107" s="1"/>
      <c r="R107" s="46"/>
      <c r="S107" s="1"/>
      <c r="T107" s="1"/>
      <c r="U107" s="1"/>
      <c r="V107" s="43"/>
    </row>
    <row r="108" ht="18.75" customHeight="1">
      <c r="A108" s="1"/>
      <c r="B108" s="1"/>
      <c r="C108" s="46"/>
      <c r="D108" s="1"/>
      <c r="E108" s="1"/>
      <c r="F108" s="1"/>
      <c r="G108" s="46"/>
      <c r="H108" s="1"/>
      <c r="I108" s="1"/>
      <c r="J108" s="57">
        <v>3488.0</v>
      </c>
      <c r="K108" s="57">
        <v>1.0</v>
      </c>
      <c r="L108" s="57">
        <v>677.0</v>
      </c>
      <c r="M108" s="1"/>
      <c r="N108" s="47"/>
      <c r="O108" s="46"/>
      <c r="P108" s="1"/>
      <c r="Q108" s="1"/>
      <c r="R108" s="46"/>
      <c r="S108" s="1"/>
      <c r="T108" s="1"/>
      <c r="U108" s="1"/>
      <c r="V108" s="43"/>
    </row>
    <row r="109" ht="18.75" customHeight="1">
      <c r="A109" s="1"/>
      <c r="B109" s="1"/>
      <c r="C109" s="46"/>
      <c r="D109" s="1"/>
      <c r="E109" s="1"/>
      <c r="F109" s="1"/>
      <c r="G109" s="46"/>
      <c r="H109" s="1"/>
      <c r="I109" s="1"/>
      <c r="J109" s="57">
        <v>5514.0</v>
      </c>
      <c r="K109" s="57">
        <v>1.0</v>
      </c>
      <c r="L109" s="57">
        <v>671.0</v>
      </c>
      <c r="M109" s="1"/>
      <c r="N109" s="47"/>
      <c r="O109" s="46"/>
      <c r="P109" s="1"/>
      <c r="Q109" s="1"/>
      <c r="R109" s="46"/>
      <c r="S109" s="1"/>
      <c r="T109" s="1"/>
      <c r="U109" s="1"/>
      <c r="V109" s="43"/>
    </row>
    <row r="110" ht="18.75" customHeight="1">
      <c r="A110" s="1"/>
      <c r="B110" s="1"/>
      <c r="C110" s="46"/>
      <c r="D110" s="1"/>
      <c r="E110" s="1"/>
      <c r="F110" s="1"/>
      <c r="G110" s="46"/>
      <c r="H110" s="1"/>
      <c r="I110" s="1"/>
      <c r="J110" s="57">
        <v>3511.0</v>
      </c>
      <c r="K110" s="57">
        <v>1.0</v>
      </c>
      <c r="L110" s="57">
        <v>670.0</v>
      </c>
      <c r="M110" s="1"/>
      <c r="N110" s="47"/>
      <c r="O110" s="46"/>
      <c r="P110" s="1"/>
      <c r="Q110" s="1"/>
      <c r="R110" s="46"/>
      <c r="S110" s="1"/>
      <c r="T110" s="1"/>
      <c r="U110" s="1"/>
      <c r="V110" s="43"/>
    </row>
    <row r="111" ht="18.75" customHeight="1">
      <c r="A111" s="1"/>
      <c r="B111" s="1"/>
      <c r="C111" s="46"/>
      <c r="D111" s="1"/>
      <c r="E111" s="1"/>
      <c r="F111" s="1"/>
      <c r="G111" s="46"/>
      <c r="H111" s="1"/>
      <c r="I111" s="1"/>
      <c r="J111" s="57">
        <v>2330.0</v>
      </c>
      <c r="K111" s="57">
        <v>1.0</v>
      </c>
      <c r="L111" s="57">
        <v>669.0</v>
      </c>
      <c r="M111" s="1"/>
      <c r="N111" s="47"/>
      <c r="O111" s="46"/>
      <c r="P111" s="1"/>
      <c r="Q111" s="1"/>
      <c r="R111" s="46"/>
      <c r="S111" s="1"/>
      <c r="T111" s="1"/>
      <c r="U111" s="1"/>
      <c r="V111" s="43"/>
    </row>
    <row r="112" ht="18.75" customHeight="1">
      <c r="A112" s="1"/>
      <c r="B112" s="1"/>
      <c r="C112" s="46"/>
      <c r="D112" s="1"/>
      <c r="E112" s="1"/>
      <c r="F112" s="1"/>
      <c r="G112" s="46"/>
      <c r="H112" s="1"/>
      <c r="I112" s="1"/>
      <c r="J112" s="57">
        <v>3620.0</v>
      </c>
      <c r="K112" s="57">
        <v>1.0</v>
      </c>
      <c r="L112" s="57">
        <v>665.0</v>
      </c>
      <c r="M112" s="1"/>
      <c r="N112" s="47"/>
      <c r="O112" s="46"/>
      <c r="P112" s="1"/>
      <c r="Q112" s="1"/>
      <c r="R112" s="46"/>
      <c r="S112" s="1"/>
      <c r="T112" s="1"/>
      <c r="U112" s="1"/>
      <c r="V112" s="43"/>
    </row>
    <row r="113" ht="18.75" customHeight="1">
      <c r="A113" s="1"/>
      <c r="B113" s="1"/>
      <c r="C113" s="46"/>
      <c r="D113" s="1"/>
      <c r="E113" s="1"/>
      <c r="F113" s="1"/>
      <c r="G113" s="46"/>
      <c r="H113" s="1"/>
      <c r="I113" s="1"/>
      <c r="J113" s="57">
        <v>3579.0</v>
      </c>
      <c r="K113" s="57">
        <v>1.0</v>
      </c>
      <c r="L113" s="57">
        <v>656.0</v>
      </c>
      <c r="M113" s="1"/>
      <c r="N113" s="47"/>
      <c r="O113" s="46"/>
      <c r="P113" s="1"/>
      <c r="Q113" s="1"/>
      <c r="R113" s="46"/>
      <c r="S113" s="1"/>
      <c r="T113" s="1"/>
      <c r="U113" s="1"/>
      <c r="V113" s="43"/>
    </row>
    <row r="114" ht="18.75" customHeight="1">
      <c r="A114" s="1"/>
      <c r="B114" s="1"/>
      <c r="C114" s="46"/>
      <c r="D114" s="1"/>
      <c r="E114" s="1"/>
      <c r="F114" s="1"/>
      <c r="G114" s="46"/>
      <c r="H114" s="1"/>
      <c r="I114" s="1"/>
      <c r="J114" s="57">
        <v>4661.0</v>
      </c>
      <c r="K114" s="57">
        <v>1.0</v>
      </c>
      <c r="L114" s="57">
        <v>655.0</v>
      </c>
      <c r="M114" s="1"/>
      <c r="N114" s="47"/>
      <c r="O114" s="46"/>
      <c r="P114" s="1"/>
      <c r="Q114" s="1"/>
      <c r="R114" s="46"/>
      <c r="S114" s="1"/>
      <c r="T114" s="1"/>
      <c r="U114" s="1"/>
      <c r="V114" s="43"/>
    </row>
    <row r="115" ht="18.75" customHeight="1">
      <c r="A115" s="1"/>
      <c r="B115" s="1"/>
      <c r="C115" s="46"/>
      <c r="D115" s="1"/>
      <c r="E115" s="1"/>
      <c r="F115" s="1"/>
      <c r="G115" s="46"/>
      <c r="H115" s="1"/>
      <c r="I115" s="1"/>
      <c r="J115" s="57">
        <v>3184.0</v>
      </c>
      <c r="K115" s="57">
        <v>1.0</v>
      </c>
      <c r="L115" s="57">
        <v>655.0</v>
      </c>
      <c r="M115" s="1"/>
      <c r="N115" s="47"/>
      <c r="O115" s="46"/>
      <c r="P115" s="1"/>
      <c r="Q115" s="1"/>
      <c r="R115" s="46"/>
      <c r="S115" s="1"/>
      <c r="T115" s="1"/>
      <c r="U115" s="1"/>
      <c r="V115" s="43"/>
    </row>
    <row r="116" ht="18.75" customHeight="1">
      <c r="A116" s="1"/>
      <c r="B116" s="1"/>
      <c r="C116" s="46"/>
      <c r="D116" s="1"/>
      <c r="E116" s="1"/>
      <c r="F116" s="1"/>
      <c r="G116" s="46"/>
      <c r="H116" s="1"/>
      <c r="I116" s="1"/>
      <c r="J116" s="57">
        <v>2420.0</v>
      </c>
      <c r="K116" s="57">
        <v>1.0</v>
      </c>
      <c r="L116" s="57">
        <v>655.0</v>
      </c>
      <c r="M116" s="1"/>
      <c r="N116" s="47"/>
      <c r="O116" s="46"/>
      <c r="P116" s="1"/>
      <c r="Q116" s="1"/>
      <c r="R116" s="46"/>
      <c r="S116" s="1"/>
      <c r="T116" s="1"/>
      <c r="U116" s="1"/>
      <c r="V116" s="43"/>
    </row>
    <row r="117" ht="18.75" customHeight="1">
      <c r="A117" s="1"/>
      <c r="B117" s="1"/>
      <c r="C117" s="46"/>
      <c r="D117" s="1"/>
      <c r="E117" s="1"/>
      <c r="F117" s="1"/>
      <c r="G117" s="46"/>
      <c r="H117" s="1"/>
      <c r="I117" s="1"/>
      <c r="J117" s="57">
        <v>4349.0</v>
      </c>
      <c r="K117" s="57">
        <v>1.0</v>
      </c>
      <c r="L117" s="57">
        <v>653.0</v>
      </c>
      <c r="M117" s="1"/>
      <c r="N117" s="47"/>
      <c r="O117" s="46"/>
      <c r="P117" s="1"/>
      <c r="Q117" s="1"/>
      <c r="R117" s="46"/>
      <c r="S117" s="1"/>
      <c r="T117" s="1"/>
      <c r="U117" s="1"/>
      <c r="V117" s="43"/>
    </row>
    <row r="118" ht="18.75" customHeight="1">
      <c r="A118" s="1"/>
      <c r="B118" s="1"/>
      <c r="C118" s="46"/>
      <c r="D118" s="1"/>
      <c r="E118" s="1"/>
      <c r="F118" s="1"/>
      <c r="G118" s="46"/>
      <c r="H118" s="1"/>
      <c r="I118" s="1"/>
      <c r="J118" s="57">
        <v>2765.0</v>
      </c>
      <c r="K118" s="57">
        <v>1.0</v>
      </c>
      <c r="L118" s="57">
        <v>645.0</v>
      </c>
      <c r="M118" s="1"/>
      <c r="N118" s="47"/>
      <c r="O118" s="46"/>
      <c r="P118" s="1"/>
      <c r="Q118" s="1"/>
      <c r="R118" s="46"/>
      <c r="S118" s="1"/>
      <c r="T118" s="1"/>
      <c r="U118" s="1"/>
      <c r="V118" s="43"/>
    </row>
    <row r="119" ht="18.75" customHeight="1">
      <c r="A119" s="1"/>
      <c r="B119" s="1"/>
      <c r="C119" s="46"/>
      <c r="D119" s="1"/>
      <c r="E119" s="1"/>
      <c r="F119" s="1"/>
      <c r="G119" s="46"/>
      <c r="H119" s="1"/>
      <c r="I119" s="1"/>
      <c r="J119" s="57">
        <v>2505.0</v>
      </c>
      <c r="K119" s="57">
        <v>1.0</v>
      </c>
      <c r="L119" s="57">
        <v>642.0</v>
      </c>
      <c r="M119" s="1"/>
      <c r="N119" s="47"/>
      <c r="O119" s="46"/>
      <c r="P119" s="1"/>
      <c r="Q119" s="1"/>
      <c r="R119" s="46"/>
      <c r="S119" s="1"/>
      <c r="T119" s="1"/>
      <c r="U119" s="1"/>
      <c r="V119" s="43"/>
    </row>
    <row r="120" ht="18.75" customHeight="1">
      <c r="A120" s="1"/>
      <c r="B120" s="1"/>
      <c r="C120" s="46"/>
      <c r="D120" s="1"/>
      <c r="E120" s="1"/>
      <c r="F120" s="1"/>
      <c r="G120" s="46"/>
      <c r="H120" s="1"/>
      <c r="I120" s="1"/>
      <c r="J120" s="57">
        <v>5553.0</v>
      </c>
      <c r="K120" s="57">
        <v>1.0</v>
      </c>
      <c r="L120" s="57">
        <v>628.0</v>
      </c>
      <c r="M120" s="1"/>
      <c r="N120" s="47"/>
      <c r="O120" s="46"/>
      <c r="P120" s="1"/>
      <c r="Q120" s="1"/>
      <c r="R120" s="46"/>
      <c r="S120" s="1"/>
      <c r="T120" s="1"/>
      <c r="U120" s="1"/>
      <c r="V120" s="43"/>
    </row>
    <row r="121" ht="18.75" customHeight="1">
      <c r="A121" s="1"/>
      <c r="B121" s="1"/>
      <c r="C121" s="46"/>
      <c r="D121" s="1"/>
      <c r="E121" s="1"/>
      <c r="F121" s="1"/>
      <c r="G121" s="46"/>
      <c r="H121" s="1"/>
      <c r="I121" s="1"/>
      <c r="J121" s="57">
        <v>5031.0</v>
      </c>
      <c r="K121" s="57">
        <v>1.0</v>
      </c>
      <c r="L121" s="57">
        <v>626.0</v>
      </c>
      <c r="M121" s="1"/>
      <c r="N121" s="47"/>
      <c r="O121" s="46"/>
      <c r="P121" s="1"/>
      <c r="Q121" s="1"/>
      <c r="R121" s="46"/>
      <c r="S121" s="1"/>
      <c r="T121" s="1"/>
      <c r="U121" s="1"/>
      <c r="V121" s="43"/>
    </row>
    <row r="122" ht="18.75" customHeight="1">
      <c r="A122" s="1"/>
      <c r="B122" s="1"/>
      <c r="C122" s="46"/>
      <c r="D122" s="1"/>
      <c r="E122" s="1"/>
      <c r="F122" s="1"/>
      <c r="G122" s="46"/>
      <c r="H122" s="1"/>
      <c r="I122" s="1"/>
      <c r="J122" s="57">
        <v>2509.0</v>
      </c>
      <c r="K122" s="57">
        <v>1.0</v>
      </c>
      <c r="L122" s="57">
        <v>625.0</v>
      </c>
      <c r="M122" s="1"/>
      <c r="N122" s="47"/>
      <c r="O122" s="46"/>
      <c r="P122" s="1"/>
      <c r="Q122" s="1"/>
      <c r="R122" s="46"/>
      <c r="S122" s="1"/>
      <c r="T122" s="1"/>
      <c r="U122" s="1"/>
      <c r="V122" s="43"/>
    </row>
    <row r="123" ht="18.75" customHeight="1">
      <c r="A123" s="1"/>
      <c r="B123" s="1"/>
      <c r="C123" s="46"/>
      <c r="D123" s="1"/>
      <c r="E123" s="1"/>
      <c r="F123" s="1"/>
      <c r="G123" s="46"/>
      <c r="H123" s="1"/>
      <c r="I123" s="1"/>
      <c r="J123" s="57">
        <v>3648.0</v>
      </c>
      <c r="K123" s="57">
        <v>1.0</v>
      </c>
      <c r="L123" s="57">
        <v>620.0</v>
      </c>
      <c r="M123" s="1"/>
      <c r="N123" s="47"/>
      <c r="O123" s="46"/>
      <c r="P123" s="1"/>
      <c r="Q123" s="1"/>
      <c r="R123" s="46"/>
      <c r="S123" s="1"/>
      <c r="T123" s="1"/>
      <c r="U123" s="1"/>
      <c r="V123" s="43"/>
    </row>
    <row r="124" ht="18.75" customHeight="1">
      <c r="A124" s="1"/>
      <c r="B124" s="1"/>
      <c r="C124" s="46"/>
      <c r="D124" s="1"/>
      <c r="E124" s="1"/>
      <c r="F124" s="1"/>
      <c r="G124" s="46"/>
      <c r="H124" s="1"/>
      <c r="I124" s="1"/>
      <c r="J124" s="57">
        <v>2987.0</v>
      </c>
      <c r="K124" s="57">
        <v>1.0</v>
      </c>
      <c r="L124" s="57">
        <v>619.0</v>
      </c>
      <c r="M124" s="1"/>
      <c r="N124" s="47"/>
      <c r="O124" s="46"/>
      <c r="P124" s="1"/>
      <c r="Q124" s="1"/>
      <c r="R124" s="46"/>
      <c r="S124" s="1"/>
      <c r="T124" s="1"/>
      <c r="U124" s="1"/>
      <c r="V124" s="43"/>
    </row>
    <row r="125" ht="18.75" customHeight="1">
      <c r="A125" s="1"/>
      <c r="B125" s="1"/>
      <c r="C125" s="46"/>
      <c r="D125" s="1"/>
      <c r="E125" s="1"/>
      <c r="F125" s="1"/>
      <c r="G125" s="46"/>
      <c r="H125" s="1"/>
      <c r="I125" s="1"/>
      <c r="J125" s="57">
        <v>5343.0</v>
      </c>
      <c r="K125" s="57">
        <v>1.0</v>
      </c>
      <c r="L125" s="57">
        <v>616.0</v>
      </c>
      <c r="M125" s="1"/>
      <c r="N125" s="47"/>
      <c r="O125" s="46"/>
      <c r="P125" s="1"/>
      <c r="Q125" s="1"/>
      <c r="R125" s="46"/>
      <c r="S125" s="1"/>
      <c r="T125" s="1"/>
      <c r="U125" s="1"/>
      <c r="V125" s="43"/>
    </row>
    <row r="126" ht="18.75" customHeight="1">
      <c r="A126" s="1"/>
      <c r="B126" s="1"/>
      <c r="C126" s="46"/>
      <c r="D126" s="1"/>
      <c r="E126" s="1"/>
      <c r="F126" s="1"/>
      <c r="G126" s="46"/>
      <c r="H126" s="1"/>
      <c r="I126" s="1"/>
      <c r="J126" s="57">
        <v>2705.0</v>
      </c>
      <c r="K126" s="57">
        <v>1.0</v>
      </c>
      <c r="L126" s="57">
        <v>616.0</v>
      </c>
      <c r="M126" s="1"/>
      <c r="N126" s="47"/>
      <c r="O126" s="46"/>
      <c r="P126" s="1"/>
      <c r="Q126" s="1"/>
      <c r="R126" s="46"/>
      <c r="S126" s="1"/>
      <c r="T126" s="1"/>
      <c r="U126" s="1"/>
      <c r="V126" s="43"/>
    </row>
    <row r="127" ht="18.75" customHeight="1">
      <c r="A127" s="1"/>
      <c r="B127" s="1"/>
      <c r="C127" s="46"/>
      <c r="D127" s="1"/>
      <c r="E127" s="1"/>
      <c r="F127" s="1"/>
      <c r="G127" s="46"/>
      <c r="H127" s="1"/>
      <c r="I127" s="1"/>
      <c r="J127" s="57">
        <v>3004.0</v>
      </c>
      <c r="K127" s="57">
        <v>1.0</v>
      </c>
      <c r="L127" s="57">
        <v>614.0</v>
      </c>
      <c r="M127" s="1"/>
      <c r="N127" s="47"/>
      <c r="O127" s="46"/>
      <c r="P127" s="1"/>
      <c r="Q127" s="1"/>
      <c r="R127" s="46"/>
      <c r="S127" s="1"/>
      <c r="T127" s="1"/>
      <c r="U127" s="1"/>
      <c r="V127" s="43"/>
    </row>
    <row r="128" ht="18.75" customHeight="1">
      <c r="A128" s="1"/>
      <c r="B128" s="1"/>
      <c r="C128" s="46"/>
      <c r="D128" s="1"/>
      <c r="E128" s="1"/>
      <c r="F128" s="1"/>
      <c r="G128" s="46"/>
      <c r="H128" s="1"/>
      <c r="I128" s="1"/>
      <c r="J128" s="57">
        <v>4431.0</v>
      </c>
      <c r="K128" s="57">
        <v>1.0</v>
      </c>
      <c r="L128" s="57">
        <v>607.0</v>
      </c>
      <c r="M128" s="1"/>
      <c r="N128" s="47"/>
      <c r="O128" s="46"/>
      <c r="P128" s="1"/>
      <c r="Q128" s="1"/>
      <c r="R128" s="46"/>
      <c r="S128" s="1"/>
      <c r="T128" s="1"/>
      <c r="U128" s="1"/>
      <c r="V128" s="43"/>
    </row>
    <row r="129" ht="18.75" customHeight="1">
      <c r="A129" s="1"/>
      <c r="B129" s="1"/>
      <c r="C129" s="46"/>
      <c r="D129" s="1"/>
      <c r="E129" s="1"/>
      <c r="F129" s="1"/>
      <c r="G129" s="46"/>
      <c r="H129" s="1"/>
      <c r="I129" s="1"/>
      <c r="J129" s="57">
        <v>5400.0</v>
      </c>
      <c r="K129" s="57">
        <v>1.0</v>
      </c>
      <c r="L129" s="57">
        <v>605.0</v>
      </c>
      <c r="M129" s="1"/>
      <c r="N129" s="47"/>
      <c r="O129" s="46"/>
      <c r="P129" s="1"/>
      <c r="Q129" s="1"/>
      <c r="R129" s="46"/>
      <c r="S129" s="1"/>
      <c r="T129" s="1"/>
      <c r="U129" s="1"/>
      <c r="V129" s="43"/>
    </row>
    <row r="130" ht="18.75" customHeight="1">
      <c r="A130" s="1"/>
      <c r="B130" s="1"/>
      <c r="C130" s="46"/>
      <c r="D130" s="1"/>
      <c r="E130" s="1"/>
      <c r="F130" s="1"/>
      <c r="G130" s="46"/>
      <c r="H130" s="1"/>
      <c r="I130" s="1"/>
      <c r="J130" s="57">
        <v>4635.0</v>
      </c>
      <c r="K130" s="57">
        <v>1.0</v>
      </c>
      <c r="L130" s="57">
        <v>604.0</v>
      </c>
      <c r="M130" s="1"/>
      <c r="N130" s="47"/>
      <c r="O130" s="46"/>
      <c r="P130" s="1"/>
      <c r="Q130" s="1"/>
      <c r="R130" s="46"/>
      <c r="S130" s="1"/>
      <c r="T130" s="1"/>
      <c r="U130" s="1"/>
      <c r="V130" s="43"/>
    </row>
    <row r="131" ht="18.75" customHeight="1">
      <c r="A131" s="1"/>
      <c r="B131" s="1"/>
      <c r="C131" s="46"/>
      <c r="D131" s="1"/>
      <c r="E131" s="1"/>
      <c r="F131" s="1"/>
      <c r="G131" s="46"/>
      <c r="H131" s="1"/>
      <c r="I131" s="1"/>
      <c r="J131" s="57">
        <v>3341.0</v>
      </c>
      <c r="K131" s="57">
        <v>1.0</v>
      </c>
      <c r="L131" s="57">
        <v>600.0</v>
      </c>
      <c r="M131" s="1"/>
      <c r="N131" s="47"/>
      <c r="O131" s="46"/>
      <c r="P131" s="1"/>
      <c r="Q131" s="1"/>
      <c r="R131" s="46"/>
      <c r="S131" s="1"/>
      <c r="T131" s="1"/>
      <c r="U131" s="1"/>
      <c r="V131" s="43"/>
    </row>
    <row r="132" ht="18.75" customHeight="1">
      <c r="A132" s="1"/>
      <c r="B132" s="1"/>
      <c r="C132" s="46"/>
      <c r="D132" s="1"/>
      <c r="E132" s="1"/>
      <c r="F132" s="1"/>
      <c r="G132" s="46"/>
      <c r="H132" s="1"/>
      <c r="I132" s="1"/>
      <c r="J132" s="57">
        <v>3316.0</v>
      </c>
      <c r="K132" s="57">
        <v>1.0</v>
      </c>
      <c r="L132" s="57">
        <v>598.0</v>
      </c>
      <c r="M132" s="1"/>
      <c r="N132" s="47"/>
      <c r="O132" s="46"/>
      <c r="P132" s="1"/>
      <c r="Q132" s="1"/>
      <c r="R132" s="46"/>
      <c r="S132" s="1"/>
      <c r="T132" s="1"/>
      <c r="U132" s="1"/>
      <c r="V132" s="43"/>
    </row>
    <row r="133" ht="18.75" customHeight="1">
      <c r="A133" s="1"/>
      <c r="B133" s="1"/>
      <c r="C133" s="46"/>
      <c r="D133" s="1"/>
      <c r="E133" s="1"/>
      <c r="F133" s="1"/>
      <c r="G133" s="46"/>
      <c r="H133" s="1"/>
      <c r="I133" s="1"/>
      <c r="J133" s="57">
        <v>5291.0</v>
      </c>
      <c r="K133" s="57">
        <v>1.0</v>
      </c>
      <c r="L133" s="57">
        <v>597.0</v>
      </c>
      <c r="M133" s="1"/>
      <c r="N133" s="47"/>
      <c r="O133" s="46"/>
      <c r="P133" s="1"/>
      <c r="Q133" s="1"/>
      <c r="R133" s="46"/>
      <c r="S133" s="1"/>
      <c r="T133" s="1"/>
      <c r="U133" s="1"/>
      <c r="V133" s="43"/>
    </row>
    <row r="134" ht="18.75" customHeight="1">
      <c r="A134" s="1"/>
      <c r="B134" s="1"/>
      <c r="C134" s="46"/>
      <c r="D134" s="1"/>
      <c r="E134" s="1"/>
      <c r="F134" s="1"/>
      <c r="G134" s="46"/>
      <c r="H134" s="1"/>
      <c r="I134" s="1"/>
      <c r="J134" s="57">
        <v>4301.0</v>
      </c>
      <c r="K134" s="57">
        <v>1.0</v>
      </c>
      <c r="L134" s="57">
        <v>592.0</v>
      </c>
      <c r="M134" s="1"/>
      <c r="N134" s="47"/>
      <c r="O134" s="46"/>
      <c r="P134" s="1"/>
      <c r="Q134" s="1"/>
      <c r="R134" s="46"/>
      <c r="S134" s="1"/>
      <c r="T134" s="1"/>
      <c r="U134" s="1"/>
      <c r="V134" s="43"/>
    </row>
    <row r="135" ht="18.75" customHeight="1">
      <c r="A135" s="1"/>
      <c r="B135" s="1"/>
      <c r="C135" s="46"/>
      <c r="D135" s="1"/>
      <c r="E135" s="1"/>
      <c r="F135" s="1"/>
      <c r="G135" s="46"/>
      <c r="H135" s="1"/>
      <c r="I135" s="1"/>
      <c r="J135" s="57">
        <v>4938.0</v>
      </c>
      <c r="K135" s="57">
        <v>1.0</v>
      </c>
      <c r="L135" s="57">
        <v>589.0</v>
      </c>
      <c r="M135" s="1"/>
      <c r="N135" s="47"/>
      <c r="O135" s="46"/>
      <c r="P135" s="1"/>
      <c r="Q135" s="1"/>
      <c r="R135" s="46"/>
      <c r="S135" s="1"/>
      <c r="T135" s="1"/>
      <c r="U135" s="1"/>
      <c r="V135" s="43"/>
    </row>
    <row r="136" ht="18.75" customHeight="1">
      <c r="A136" s="1"/>
      <c r="B136" s="1"/>
      <c r="C136" s="46"/>
      <c r="D136" s="1"/>
      <c r="E136" s="1"/>
      <c r="F136" s="1"/>
      <c r="G136" s="46"/>
      <c r="H136" s="1"/>
      <c r="I136" s="1"/>
      <c r="J136" s="57">
        <v>2839.0</v>
      </c>
      <c r="K136" s="57">
        <v>1.0</v>
      </c>
      <c r="L136" s="57">
        <v>586.0</v>
      </c>
      <c r="M136" s="1"/>
      <c r="N136" s="47"/>
      <c r="O136" s="46"/>
      <c r="P136" s="1"/>
      <c r="Q136" s="1"/>
      <c r="R136" s="46"/>
      <c r="S136" s="1"/>
      <c r="T136" s="1"/>
      <c r="U136" s="1"/>
      <c r="V136" s="43"/>
    </row>
    <row r="137" ht="18.75" customHeight="1">
      <c r="A137" s="1"/>
      <c r="B137" s="1"/>
      <c r="C137" s="46"/>
      <c r="D137" s="1"/>
      <c r="E137" s="1"/>
      <c r="F137" s="1"/>
      <c r="G137" s="46"/>
      <c r="H137" s="1"/>
      <c r="I137" s="1"/>
      <c r="J137" s="57">
        <v>4511.0</v>
      </c>
      <c r="K137" s="57">
        <v>1.0</v>
      </c>
      <c r="L137" s="57">
        <v>585.0</v>
      </c>
      <c r="M137" s="1"/>
      <c r="N137" s="47"/>
      <c r="O137" s="46"/>
      <c r="P137" s="1"/>
      <c r="Q137" s="1"/>
      <c r="R137" s="46"/>
      <c r="S137" s="1"/>
      <c r="T137" s="1"/>
      <c r="U137" s="1"/>
      <c r="V137" s="43"/>
    </row>
    <row r="138" ht="18.75" customHeight="1">
      <c r="A138" s="1"/>
      <c r="B138" s="1"/>
      <c r="C138" s="46"/>
      <c r="D138" s="1"/>
      <c r="E138" s="1"/>
      <c r="F138" s="1"/>
      <c r="G138" s="46"/>
      <c r="H138" s="1"/>
      <c r="I138" s="1"/>
      <c r="J138" s="57">
        <v>4433.0</v>
      </c>
      <c r="K138" s="57">
        <v>1.0</v>
      </c>
      <c r="L138" s="57">
        <v>584.0</v>
      </c>
      <c r="M138" s="1"/>
      <c r="N138" s="47"/>
      <c r="O138" s="46"/>
      <c r="P138" s="1"/>
      <c r="Q138" s="1"/>
      <c r="R138" s="46"/>
      <c r="S138" s="1"/>
      <c r="T138" s="1"/>
      <c r="U138" s="1"/>
      <c r="V138" s="43"/>
    </row>
    <row r="139" ht="18.75" customHeight="1">
      <c r="A139" s="1"/>
      <c r="B139" s="1"/>
      <c r="C139" s="46"/>
      <c r="D139" s="1"/>
      <c r="E139" s="1"/>
      <c r="F139" s="1"/>
      <c r="G139" s="46"/>
      <c r="H139" s="1"/>
      <c r="I139" s="1"/>
      <c r="J139" s="57">
        <v>3475.0</v>
      </c>
      <c r="K139" s="57">
        <v>1.0</v>
      </c>
      <c r="L139" s="57">
        <v>582.0</v>
      </c>
      <c r="M139" s="1"/>
      <c r="N139" s="47"/>
      <c r="O139" s="46"/>
      <c r="P139" s="1"/>
      <c r="Q139" s="1"/>
      <c r="R139" s="46"/>
      <c r="S139" s="1"/>
      <c r="T139" s="1"/>
      <c r="U139" s="1"/>
      <c r="V139" s="43"/>
    </row>
    <row r="140" ht="18.75" customHeight="1">
      <c r="A140" s="1"/>
      <c r="B140" s="1"/>
      <c r="C140" s="46"/>
      <c r="D140" s="1"/>
      <c r="E140" s="1"/>
      <c r="F140" s="1"/>
      <c r="G140" s="46"/>
      <c r="H140" s="1"/>
      <c r="I140" s="1"/>
      <c r="J140" s="57">
        <v>3571.0</v>
      </c>
      <c r="K140" s="57">
        <v>1.0</v>
      </c>
      <c r="L140" s="57">
        <v>580.0</v>
      </c>
      <c r="M140" s="1"/>
      <c r="N140" s="47"/>
      <c r="O140" s="46"/>
      <c r="P140" s="1"/>
      <c r="Q140" s="1"/>
      <c r="R140" s="46"/>
      <c r="S140" s="1"/>
      <c r="T140" s="1"/>
      <c r="U140" s="1"/>
      <c r="V140" s="43"/>
    </row>
    <row r="141" ht="18.75" customHeight="1">
      <c r="A141" s="1"/>
      <c r="B141" s="1"/>
      <c r="C141" s="46"/>
      <c r="D141" s="1"/>
      <c r="E141" s="1"/>
      <c r="F141" s="1"/>
      <c r="G141" s="46"/>
      <c r="H141" s="1"/>
      <c r="I141" s="1"/>
      <c r="J141" s="57">
        <v>2623.0</v>
      </c>
      <c r="K141" s="57">
        <v>1.0</v>
      </c>
      <c r="L141" s="57">
        <v>578.0</v>
      </c>
      <c r="M141" s="1"/>
      <c r="N141" s="47"/>
      <c r="O141" s="46"/>
      <c r="P141" s="1"/>
      <c r="Q141" s="1"/>
      <c r="R141" s="46"/>
      <c r="S141" s="1"/>
      <c r="T141" s="1"/>
      <c r="U141" s="1"/>
      <c r="V141" s="43"/>
    </row>
    <row r="142" ht="18.75" customHeight="1">
      <c r="A142" s="1"/>
      <c r="B142" s="1"/>
      <c r="C142" s="46"/>
      <c r="D142" s="1"/>
      <c r="E142" s="1"/>
      <c r="F142" s="1"/>
      <c r="G142" s="46"/>
      <c r="H142" s="1"/>
      <c r="I142" s="1"/>
      <c r="J142" s="57">
        <v>4855.0</v>
      </c>
      <c r="K142" s="57">
        <v>1.0</v>
      </c>
      <c r="L142" s="57">
        <v>575.0</v>
      </c>
      <c r="M142" s="1"/>
      <c r="N142" s="47"/>
      <c r="O142" s="46"/>
      <c r="P142" s="1"/>
      <c r="Q142" s="1"/>
      <c r="R142" s="46"/>
      <c r="S142" s="1"/>
      <c r="T142" s="1"/>
      <c r="U142" s="1"/>
      <c r="V142" s="43"/>
    </row>
    <row r="143" ht="18.75" customHeight="1">
      <c r="A143" s="1"/>
      <c r="B143" s="1"/>
      <c r="C143" s="46"/>
      <c r="D143" s="1"/>
      <c r="E143" s="1"/>
      <c r="F143" s="1"/>
      <c r="G143" s="46"/>
      <c r="H143" s="1"/>
      <c r="I143" s="1"/>
      <c r="J143" s="57">
        <v>4655.0</v>
      </c>
      <c r="K143" s="57">
        <v>1.0</v>
      </c>
      <c r="L143" s="57">
        <v>573.0</v>
      </c>
      <c r="M143" s="1"/>
      <c r="N143" s="47"/>
      <c r="O143" s="46"/>
      <c r="P143" s="1"/>
      <c r="Q143" s="1"/>
      <c r="R143" s="46"/>
      <c r="S143" s="1"/>
      <c r="T143" s="1"/>
      <c r="U143" s="1"/>
      <c r="V143" s="43"/>
    </row>
    <row r="144" ht="18.75" customHeight="1">
      <c r="A144" s="1"/>
      <c r="B144" s="1"/>
      <c r="C144" s="46"/>
      <c r="D144" s="1"/>
      <c r="E144" s="1"/>
      <c r="F144" s="1"/>
      <c r="G144" s="46"/>
      <c r="H144" s="1"/>
      <c r="I144" s="1"/>
      <c r="J144" s="57">
        <v>3943.0</v>
      </c>
      <c r="K144" s="57">
        <v>1.0</v>
      </c>
      <c r="L144" s="57">
        <v>571.0</v>
      </c>
      <c r="M144" s="1"/>
      <c r="N144" s="47"/>
      <c r="O144" s="46"/>
      <c r="P144" s="1"/>
      <c r="Q144" s="1"/>
      <c r="R144" s="46"/>
      <c r="S144" s="1"/>
      <c r="T144" s="1"/>
      <c r="U144" s="1"/>
      <c r="V144" s="43"/>
    </row>
    <row r="145" ht="18.75" customHeight="1">
      <c r="A145" s="1"/>
      <c r="B145" s="1"/>
      <c r="C145" s="46"/>
      <c r="D145" s="1"/>
      <c r="E145" s="1"/>
      <c r="F145" s="1"/>
      <c r="G145" s="46"/>
      <c r="H145" s="1"/>
      <c r="I145" s="1"/>
      <c r="J145" s="57">
        <v>4936.0</v>
      </c>
      <c r="K145" s="57">
        <v>1.0</v>
      </c>
      <c r="L145" s="57">
        <v>570.0</v>
      </c>
      <c r="M145" s="1"/>
      <c r="N145" s="47"/>
      <c r="O145" s="46"/>
      <c r="P145" s="1"/>
      <c r="Q145" s="1"/>
      <c r="R145" s="46"/>
      <c r="S145" s="1"/>
      <c r="T145" s="1"/>
      <c r="U145" s="1"/>
      <c r="V145" s="43"/>
    </row>
    <row r="146" ht="18.75" customHeight="1">
      <c r="A146" s="1"/>
      <c r="B146" s="1"/>
      <c r="C146" s="46"/>
      <c r="D146" s="1"/>
      <c r="E146" s="1"/>
      <c r="F146" s="1"/>
      <c r="G146" s="46"/>
      <c r="H146" s="1"/>
      <c r="I146" s="1"/>
      <c r="J146" s="57">
        <v>5429.0</v>
      </c>
      <c r="K146" s="57">
        <v>1.0</v>
      </c>
      <c r="L146" s="57">
        <v>557.0</v>
      </c>
      <c r="M146" s="1"/>
      <c r="N146" s="47"/>
      <c r="O146" s="46"/>
      <c r="P146" s="1"/>
      <c r="Q146" s="1"/>
      <c r="R146" s="46"/>
      <c r="S146" s="1"/>
      <c r="T146" s="1"/>
      <c r="U146" s="1"/>
      <c r="V146" s="43"/>
    </row>
    <row r="147" ht="18.75" customHeight="1">
      <c r="A147" s="1"/>
      <c r="B147" s="1"/>
      <c r="C147" s="46"/>
      <c r="D147" s="1"/>
      <c r="E147" s="1"/>
      <c r="F147" s="1"/>
      <c r="G147" s="46"/>
      <c r="H147" s="1"/>
      <c r="I147" s="1"/>
      <c r="J147" s="57">
        <v>5196.0</v>
      </c>
      <c r="K147" s="57">
        <v>1.0</v>
      </c>
      <c r="L147" s="57">
        <v>550.0</v>
      </c>
      <c r="M147" s="1"/>
      <c r="N147" s="47"/>
      <c r="O147" s="46"/>
      <c r="P147" s="1"/>
      <c r="Q147" s="1"/>
      <c r="R147" s="46"/>
      <c r="S147" s="1"/>
      <c r="T147" s="1"/>
      <c r="U147" s="1"/>
      <c r="V147" s="43"/>
    </row>
    <row r="148" ht="18.75" customHeight="1">
      <c r="A148" s="1"/>
      <c r="B148" s="1"/>
      <c r="C148" s="46"/>
      <c r="D148" s="1"/>
      <c r="E148" s="1"/>
      <c r="F148" s="1"/>
      <c r="G148" s="46"/>
      <c r="H148" s="1"/>
      <c r="I148" s="1"/>
      <c r="J148" s="57">
        <v>3414.0</v>
      </c>
      <c r="K148" s="57">
        <v>1.0</v>
      </c>
      <c r="L148" s="57">
        <v>541.0</v>
      </c>
      <c r="M148" s="1"/>
      <c r="N148" s="47"/>
      <c r="O148" s="46"/>
      <c r="P148" s="1"/>
      <c r="Q148" s="1"/>
      <c r="R148" s="46"/>
      <c r="S148" s="1"/>
      <c r="T148" s="1"/>
      <c r="U148" s="1"/>
      <c r="V148" s="43"/>
    </row>
    <row r="149" ht="18.75" customHeight="1">
      <c r="A149" s="1"/>
      <c r="B149" s="1"/>
      <c r="C149" s="46"/>
      <c r="D149" s="1"/>
      <c r="E149" s="1"/>
      <c r="F149" s="1"/>
      <c r="G149" s="46"/>
      <c r="H149" s="1"/>
      <c r="I149" s="1"/>
      <c r="J149" s="57">
        <v>3752.0</v>
      </c>
      <c r="K149" s="57">
        <v>1.0</v>
      </c>
      <c r="L149" s="57">
        <v>538.0</v>
      </c>
      <c r="M149" s="1"/>
      <c r="N149" s="47"/>
      <c r="O149" s="46"/>
      <c r="P149" s="1"/>
      <c r="Q149" s="1"/>
      <c r="R149" s="46"/>
      <c r="S149" s="1"/>
      <c r="T149" s="1"/>
      <c r="U149" s="1"/>
      <c r="V149" s="43"/>
    </row>
    <row r="150" ht="18.75" customHeight="1">
      <c r="A150" s="1"/>
      <c r="B150" s="1"/>
      <c r="C150" s="46"/>
      <c r="D150" s="1"/>
      <c r="E150" s="1"/>
      <c r="F150" s="1"/>
      <c r="G150" s="46"/>
      <c r="H150" s="1"/>
      <c r="I150" s="1"/>
      <c r="J150" s="57">
        <v>5233.0</v>
      </c>
      <c r="K150" s="57">
        <v>1.0</v>
      </c>
      <c r="L150" s="57">
        <v>537.0</v>
      </c>
      <c r="M150" s="1"/>
      <c r="N150" s="47"/>
      <c r="O150" s="46"/>
      <c r="P150" s="1"/>
      <c r="Q150" s="1"/>
      <c r="R150" s="46"/>
      <c r="S150" s="1"/>
      <c r="T150" s="1"/>
      <c r="U150" s="1"/>
      <c r="V150" s="43"/>
    </row>
    <row r="151" ht="18.75" customHeight="1">
      <c r="A151" s="1"/>
      <c r="B151" s="1"/>
      <c r="C151" s="46"/>
      <c r="D151" s="1"/>
      <c r="E151" s="1"/>
      <c r="F151" s="1"/>
      <c r="G151" s="46"/>
      <c r="H151" s="1"/>
      <c r="I151" s="1"/>
      <c r="J151" s="57">
        <v>4281.0</v>
      </c>
      <c r="K151" s="57">
        <v>1.0</v>
      </c>
      <c r="L151" s="57">
        <v>531.0</v>
      </c>
      <c r="M151" s="1"/>
      <c r="N151" s="47"/>
      <c r="O151" s="46"/>
      <c r="P151" s="1"/>
      <c r="Q151" s="1"/>
      <c r="R151" s="46"/>
      <c r="S151" s="1"/>
      <c r="T151" s="1"/>
      <c r="U151" s="1"/>
      <c r="V151" s="43"/>
    </row>
    <row r="152" ht="18.75" customHeight="1">
      <c r="A152" s="1"/>
      <c r="B152" s="1"/>
      <c r="C152" s="46"/>
      <c r="D152" s="1"/>
      <c r="E152" s="1"/>
      <c r="F152" s="1"/>
      <c r="G152" s="46"/>
      <c r="H152" s="1"/>
      <c r="I152" s="1"/>
      <c r="J152" s="57">
        <v>3418.0</v>
      </c>
      <c r="K152" s="57">
        <v>1.0</v>
      </c>
      <c r="L152" s="57">
        <v>523.0</v>
      </c>
      <c r="M152" s="1"/>
      <c r="N152" s="47"/>
      <c r="O152" s="46"/>
      <c r="P152" s="1"/>
      <c r="Q152" s="1"/>
      <c r="R152" s="46"/>
      <c r="S152" s="1"/>
      <c r="T152" s="1"/>
      <c r="U152" s="1"/>
      <c r="V152" s="43"/>
    </row>
    <row r="153" ht="18.75" customHeight="1">
      <c r="A153" s="1"/>
      <c r="B153" s="1"/>
      <c r="C153" s="46"/>
      <c r="D153" s="1"/>
      <c r="E153" s="1"/>
      <c r="F153" s="1"/>
      <c r="G153" s="46"/>
      <c r="H153" s="1"/>
      <c r="I153" s="1"/>
      <c r="J153" s="57">
        <v>4105.0</v>
      </c>
      <c r="K153" s="57">
        <v>1.0</v>
      </c>
      <c r="L153" s="57">
        <v>518.0</v>
      </c>
      <c r="M153" s="1"/>
      <c r="N153" s="47"/>
      <c r="O153" s="46"/>
      <c r="P153" s="1"/>
      <c r="Q153" s="1"/>
      <c r="R153" s="46"/>
      <c r="S153" s="1"/>
      <c r="T153" s="1"/>
      <c r="U153" s="1"/>
      <c r="V153" s="43"/>
    </row>
    <row r="154" ht="18.75" customHeight="1">
      <c r="A154" s="1"/>
      <c r="B154" s="1"/>
      <c r="C154" s="46"/>
      <c r="D154" s="1"/>
      <c r="E154" s="1"/>
      <c r="F154" s="1"/>
      <c r="G154" s="46"/>
      <c r="H154" s="1"/>
      <c r="I154" s="1"/>
      <c r="J154" s="57">
        <v>3717.0</v>
      </c>
      <c r="K154" s="57">
        <v>1.0</v>
      </c>
      <c r="L154" s="57">
        <v>518.0</v>
      </c>
      <c r="M154" s="1"/>
      <c r="N154" s="47"/>
      <c r="O154" s="46"/>
      <c r="P154" s="1"/>
      <c r="Q154" s="1"/>
      <c r="R154" s="46"/>
      <c r="S154" s="1"/>
      <c r="T154" s="1"/>
      <c r="U154" s="1"/>
      <c r="V154" s="43"/>
    </row>
    <row r="155" ht="18.75" customHeight="1">
      <c r="A155" s="1"/>
      <c r="B155" s="1"/>
      <c r="C155" s="46"/>
      <c r="D155" s="1"/>
      <c r="E155" s="1"/>
      <c r="F155" s="1"/>
      <c r="G155" s="46"/>
      <c r="H155" s="1"/>
      <c r="I155" s="1"/>
      <c r="J155" s="57">
        <v>2891.0</v>
      </c>
      <c r="K155" s="57">
        <v>1.0</v>
      </c>
      <c r="L155" s="57">
        <v>517.0</v>
      </c>
      <c r="M155" s="1"/>
      <c r="N155" s="47"/>
      <c r="O155" s="46"/>
      <c r="P155" s="1"/>
      <c r="Q155" s="1"/>
      <c r="R155" s="46"/>
      <c r="S155" s="1"/>
      <c r="T155" s="1"/>
      <c r="U155" s="1"/>
      <c r="V155" s="43"/>
    </row>
    <row r="156" ht="18.75" customHeight="1">
      <c r="A156" s="1"/>
      <c r="B156" s="1"/>
      <c r="C156" s="46"/>
      <c r="D156" s="1"/>
      <c r="E156" s="1"/>
      <c r="F156" s="1"/>
      <c r="G156" s="46"/>
      <c r="H156" s="1"/>
      <c r="I156" s="1"/>
      <c r="J156" s="57">
        <v>4726.0</v>
      </c>
      <c r="K156" s="57">
        <v>1.0</v>
      </c>
      <c r="L156" s="57">
        <v>502.0</v>
      </c>
      <c r="M156" s="1"/>
      <c r="N156" s="47"/>
      <c r="O156" s="46"/>
      <c r="P156" s="1"/>
      <c r="Q156" s="1"/>
      <c r="R156" s="46"/>
      <c r="S156" s="1"/>
      <c r="T156" s="1"/>
      <c r="U156" s="1"/>
      <c r="V156" s="43"/>
    </row>
    <row r="157" ht="18.75" customHeight="1">
      <c r="A157" s="1"/>
      <c r="B157" s="1"/>
      <c r="C157" s="46"/>
      <c r="D157" s="1"/>
      <c r="E157" s="1"/>
      <c r="F157" s="1"/>
      <c r="G157" s="46"/>
      <c r="H157" s="1"/>
      <c r="I157" s="1"/>
      <c r="J157" s="57">
        <v>3939.0</v>
      </c>
      <c r="K157" s="57">
        <v>1.0</v>
      </c>
      <c r="L157" s="57">
        <v>501.0</v>
      </c>
      <c r="M157" s="1"/>
      <c r="N157" s="47"/>
      <c r="O157" s="46"/>
      <c r="P157" s="1"/>
      <c r="Q157" s="1"/>
      <c r="R157" s="46"/>
      <c r="S157" s="1"/>
      <c r="T157" s="1"/>
      <c r="U157" s="1"/>
      <c r="V157" s="43"/>
    </row>
    <row r="158" ht="18.75" customHeight="1">
      <c r="A158" s="1"/>
      <c r="B158" s="1"/>
      <c r="C158" s="46"/>
      <c r="D158" s="1"/>
      <c r="E158" s="1"/>
      <c r="F158" s="1"/>
      <c r="G158" s="46"/>
      <c r="H158" s="1"/>
      <c r="I158" s="1"/>
      <c r="J158" s="67" t="s">
        <v>414</v>
      </c>
      <c r="K158" s="63">
        <v>147.0</v>
      </c>
      <c r="L158" s="63">
        <v>116257.0</v>
      </c>
      <c r="M158" s="1"/>
      <c r="N158" s="47"/>
      <c r="O158" s="46"/>
      <c r="P158" s="1"/>
      <c r="Q158" s="1"/>
      <c r="R158" s="46"/>
      <c r="S158" s="1"/>
      <c r="T158" s="1"/>
      <c r="U158" s="1"/>
      <c r="V158" s="43"/>
    </row>
    <row r="159" ht="18.75" customHeight="1">
      <c r="A159" s="1"/>
      <c r="B159" s="1"/>
      <c r="C159" s="46"/>
      <c r="D159" s="1"/>
      <c r="E159" s="1"/>
      <c r="F159" s="1"/>
      <c r="G159" s="46"/>
      <c r="H159" s="1"/>
      <c r="I159" s="1"/>
      <c r="J159" s="46"/>
      <c r="K159" s="46"/>
      <c r="L159" s="46"/>
      <c r="M159" s="1"/>
      <c r="N159" s="47"/>
      <c r="O159" s="46"/>
      <c r="P159" s="1"/>
      <c r="Q159" s="1"/>
      <c r="R159" s="46"/>
      <c r="S159" s="1"/>
      <c r="T159" s="1"/>
      <c r="U159" s="1"/>
      <c r="V159" s="43"/>
    </row>
    <row r="160" ht="15.75" customHeight="1">
      <c r="A160" s="1"/>
      <c r="B160" s="1"/>
      <c r="C160" s="46"/>
      <c r="D160" s="1"/>
      <c r="E160" s="1"/>
      <c r="F160" s="1"/>
      <c r="G160" s="46"/>
      <c r="H160" s="1"/>
      <c r="I160" s="1"/>
      <c r="J160" s="46"/>
      <c r="K160" s="46"/>
      <c r="L160" s="46"/>
      <c r="M160" s="1"/>
      <c r="N160" s="47"/>
      <c r="O160" s="46"/>
      <c r="P160" s="1"/>
      <c r="Q160" s="1"/>
      <c r="R160" s="46"/>
      <c r="S160" s="1"/>
      <c r="T160" s="1"/>
      <c r="U160" s="1"/>
      <c r="V160" s="43"/>
    </row>
    <row r="161" ht="15.75" customHeight="1">
      <c r="A161" s="1"/>
      <c r="B161" s="1"/>
      <c r="C161" s="46"/>
      <c r="D161" s="1"/>
      <c r="E161" s="1"/>
      <c r="F161" s="1"/>
      <c r="G161" s="46"/>
      <c r="H161" s="1"/>
      <c r="I161" s="1"/>
      <c r="J161" s="46"/>
      <c r="K161" s="46"/>
      <c r="L161" s="46"/>
      <c r="M161" s="1"/>
      <c r="N161" s="47"/>
      <c r="O161" s="46"/>
      <c r="P161" s="1"/>
      <c r="Q161" s="1"/>
      <c r="R161" s="46"/>
      <c r="S161" s="1"/>
      <c r="T161" s="1"/>
      <c r="U161" s="1"/>
      <c r="V161" s="43"/>
    </row>
    <row r="162" ht="15.75" customHeight="1">
      <c r="A162" s="1"/>
      <c r="B162" s="1"/>
      <c r="C162" s="46"/>
      <c r="D162" s="1"/>
      <c r="E162" s="1"/>
      <c r="F162" s="1"/>
      <c r="G162" s="46"/>
      <c r="H162" s="1"/>
      <c r="I162" s="1"/>
      <c r="J162" s="46"/>
      <c r="K162" s="46"/>
      <c r="L162" s="46"/>
      <c r="M162" s="1"/>
      <c r="N162" s="47"/>
      <c r="O162" s="46"/>
      <c r="P162" s="1"/>
      <c r="Q162" s="1"/>
      <c r="R162" s="46"/>
      <c r="S162" s="1"/>
      <c r="T162" s="1"/>
      <c r="U162" s="1"/>
      <c r="V162" s="43"/>
    </row>
    <row r="163" ht="15.75" customHeight="1">
      <c r="A163" s="1"/>
      <c r="B163" s="1"/>
      <c r="C163" s="46"/>
      <c r="D163" s="1"/>
      <c r="E163" s="1"/>
      <c r="F163" s="1"/>
      <c r="G163" s="46"/>
      <c r="H163" s="1"/>
      <c r="I163" s="1"/>
      <c r="J163" s="46"/>
      <c r="K163" s="46"/>
      <c r="L163" s="46"/>
      <c r="M163" s="1"/>
      <c r="N163" s="47"/>
      <c r="O163" s="46"/>
      <c r="P163" s="1"/>
      <c r="Q163" s="1"/>
      <c r="R163" s="46"/>
      <c r="S163" s="1"/>
      <c r="T163" s="1"/>
      <c r="U163" s="1"/>
      <c r="V163" s="43"/>
    </row>
    <row r="164" ht="15.75" customHeight="1">
      <c r="A164" s="1"/>
      <c r="B164" s="1"/>
      <c r="C164" s="46"/>
      <c r="D164" s="1"/>
      <c r="E164" s="1"/>
      <c r="F164" s="1"/>
      <c r="G164" s="46"/>
      <c r="H164" s="1"/>
      <c r="I164" s="1"/>
      <c r="J164" s="46"/>
      <c r="K164" s="46"/>
      <c r="L164" s="46"/>
      <c r="M164" s="1"/>
      <c r="N164" s="47"/>
      <c r="O164" s="46"/>
      <c r="P164" s="1"/>
      <c r="Q164" s="1"/>
      <c r="R164" s="46"/>
      <c r="S164" s="1"/>
      <c r="T164" s="1"/>
      <c r="U164" s="1"/>
      <c r="V164" s="43"/>
    </row>
    <row r="165" ht="15.75" customHeight="1">
      <c r="A165" s="1"/>
      <c r="B165" s="1"/>
      <c r="C165" s="46"/>
      <c r="D165" s="1"/>
      <c r="E165" s="1"/>
      <c r="F165" s="1"/>
      <c r="G165" s="46"/>
      <c r="H165" s="1"/>
      <c r="I165" s="1"/>
      <c r="J165" s="46"/>
      <c r="K165" s="46"/>
      <c r="L165" s="46"/>
      <c r="M165" s="1"/>
      <c r="N165" s="47"/>
      <c r="O165" s="46"/>
      <c r="P165" s="1"/>
      <c r="Q165" s="1"/>
      <c r="R165" s="46"/>
      <c r="S165" s="1"/>
      <c r="T165" s="1"/>
      <c r="U165" s="1"/>
      <c r="V165" s="43"/>
    </row>
    <row r="166" ht="15.75" customHeight="1">
      <c r="A166" s="1"/>
      <c r="B166" s="1"/>
      <c r="C166" s="46"/>
      <c r="D166" s="1"/>
      <c r="E166" s="1"/>
      <c r="F166" s="1"/>
      <c r="G166" s="46"/>
      <c r="H166" s="1"/>
      <c r="I166" s="1"/>
      <c r="J166" s="46"/>
      <c r="K166" s="46"/>
      <c r="L166" s="46"/>
      <c r="M166" s="1"/>
      <c r="N166" s="47"/>
      <c r="O166" s="46"/>
      <c r="P166" s="1"/>
      <c r="Q166" s="1"/>
      <c r="R166" s="46"/>
      <c r="S166" s="1"/>
      <c r="T166" s="1"/>
      <c r="U166" s="1"/>
      <c r="V166" s="43"/>
    </row>
    <row r="167" ht="15.75" customHeight="1">
      <c r="A167" s="1"/>
      <c r="B167" s="1"/>
      <c r="C167" s="46"/>
      <c r="D167" s="1"/>
      <c r="E167" s="1"/>
      <c r="F167" s="1"/>
      <c r="G167" s="46"/>
      <c r="H167" s="1"/>
      <c r="I167" s="1"/>
      <c r="J167" s="46"/>
      <c r="K167" s="46"/>
      <c r="L167" s="46"/>
      <c r="M167" s="1"/>
      <c r="N167" s="47"/>
      <c r="O167" s="46"/>
      <c r="P167" s="1"/>
      <c r="Q167" s="1"/>
      <c r="R167" s="46"/>
      <c r="S167" s="1"/>
      <c r="T167" s="1"/>
      <c r="U167" s="1"/>
      <c r="V167" s="43"/>
    </row>
    <row r="168" ht="15.75" customHeight="1">
      <c r="A168" s="1"/>
      <c r="B168" s="1"/>
      <c r="C168" s="46"/>
      <c r="D168" s="1"/>
      <c r="E168" s="1"/>
      <c r="F168" s="1"/>
      <c r="G168" s="46"/>
      <c r="H168" s="1"/>
      <c r="I168" s="1"/>
      <c r="J168" s="46"/>
      <c r="K168" s="46"/>
      <c r="L168" s="46"/>
      <c r="M168" s="1"/>
      <c r="N168" s="47"/>
      <c r="O168" s="46"/>
      <c r="P168" s="1"/>
      <c r="Q168" s="1"/>
      <c r="R168" s="46"/>
      <c r="S168" s="1"/>
      <c r="T168" s="1"/>
      <c r="U168" s="1"/>
      <c r="V168" s="43"/>
    </row>
    <row r="169" ht="15.75" customHeight="1">
      <c r="A169" s="1"/>
      <c r="B169" s="1"/>
      <c r="C169" s="46"/>
      <c r="D169" s="1"/>
      <c r="E169" s="1"/>
      <c r="F169" s="1"/>
      <c r="G169" s="46"/>
      <c r="H169" s="1"/>
      <c r="I169" s="1"/>
      <c r="J169" s="46"/>
      <c r="K169" s="46"/>
      <c r="L169" s="46"/>
      <c r="M169" s="1"/>
      <c r="N169" s="47"/>
      <c r="O169" s="46"/>
      <c r="P169" s="1"/>
      <c r="Q169" s="1"/>
      <c r="R169" s="46"/>
      <c r="S169" s="1"/>
      <c r="T169" s="1"/>
      <c r="U169" s="1"/>
      <c r="V169" s="43"/>
    </row>
    <row r="170" ht="15.75" customHeight="1">
      <c r="A170" s="1"/>
      <c r="B170" s="1"/>
      <c r="C170" s="46"/>
      <c r="D170" s="1"/>
      <c r="E170" s="1"/>
      <c r="F170" s="1"/>
      <c r="G170" s="46"/>
      <c r="H170" s="1"/>
      <c r="I170" s="1"/>
      <c r="J170" s="46"/>
      <c r="K170" s="46"/>
      <c r="L170" s="46"/>
      <c r="M170" s="1"/>
      <c r="N170" s="47"/>
      <c r="O170" s="46"/>
      <c r="P170" s="1"/>
      <c r="Q170" s="1"/>
      <c r="R170" s="46"/>
      <c r="S170" s="1"/>
      <c r="T170" s="1"/>
      <c r="U170" s="1"/>
      <c r="V170" s="43"/>
    </row>
    <row r="171" ht="15.75" customHeight="1">
      <c r="A171" s="1"/>
      <c r="B171" s="1"/>
      <c r="C171" s="46"/>
      <c r="D171" s="1"/>
      <c r="E171" s="1"/>
      <c r="F171" s="1"/>
      <c r="G171" s="46"/>
      <c r="H171" s="1"/>
      <c r="I171" s="1"/>
      <c r="J171" s="46"/>
      <c r="K171" s="46"/>
      <c r="L171" s="46"/>
      <c r="M171" s="1"/>
      <c r="N171" s="47"/>
      <c r="O171" s="46"/>
      <c r="P171" s="1"/>
      <c r="Q171" s="1"/>
      <c r="R171" s="46"/>
      <c r="S171" s="1"/>
      <c r="T171" s="1"/>
      <c r="U171" s="1"/>
      <c r="V171" s="43"/>
    </row>
    <row r="172" ht="15.75" customHeight="1">
      <c r="A172" s="1"/>
      <c r="B172" s="1"/>
      <c r="C172" s="46"/>
      <c r="D172" s="1"/>
      <c r="E172" s="1"/>
      <c r="F172" s="1"/>
      <c r="G172" s="46"/>
      <c r="H172" s="1"/>
      <c r="I172" s="1"/>
      <c r="J172" s="46"/>
      <c r="K172" s="46"/>
      <c r="L172" s="46"/>
      <c r="M172" s="1"/>
      <c r="N172" s="47"/>
      <c r="O172" s="46"/>
      <c r="P172" s="1"/>
      <c r="Q172" s="1"/>
      <c r="R172" s="46"/>
      <c r="S172" s="1"/>
      <c r="T172" s="1"/>
      <c r="U172" s="1"/>
      <c r="V172" s="43"/>
    </row>
    <row r="173" ht="15.75" customHeight="1">
      <c r="A173" s="1"/>
      <c r="B173" s="1"/>
      <c r="C173" s="46"/>
      <c r="D173" s="1"/>
      <c r="E173" s="1"/>
      <c r="F173" s="1"/>
      <c r="G173" s="46"/>
      <c r="H173" s="1"/>
      <c r="I173" s="1"/>
      <c r="J173" s="46"/>
      <c r="K173" s="46"/>
      <c r="L173" s="46"/>
      <c r="M173" s="1"/>
      <c r="N173" s="47"/>
      <c r="O173" s="46"/>
      <c r="P173" s="1"/>
      <c r="Q173" s="1"/>
      <c r="R173" s="46"/>
      <c r="S173" s="1"/>
      <c r="T173" s="1"/>
      <c r="U173" s="1"/>
      <c r="V173" s="43"/>
    </row>
    <row r="174" ht="15.75" customHeight="1">
      <c r="A174" s="1"/>
      <c r="B174" s="1"/>
      <c r="C174" s="46"/>
      <c r="D174" s="1"/>
      <c r="E174" s="1"/>
      <c r="F174" s="1"/>
      <c r="G174" s="46"/>
      <c r="H174" s="1"/>
      <c r="I174" s="1"/>
      <c r="J174" s="46"/>
      <c r="K174" s="46"/>
      <c r="L174" s="46"/>
      <c r="M174" s="1"/>
      <c r="N174" s="47"/>
      <c r="O174" s="46"/>
      <c r="P174" s="1"/>
      <c r="Q174" s="1"/>
      <c r="R174" s="46"/>
      <c r="S174" s="1"/>
      <c r="T174" s="1"/>
      <c r="U174" s="1"/>
      <c r="V174" s="43"/>
    </row>
    <row r="175" ht="15.75" customHeight="1">
      <c r="A175" s="1"/>
      <c r="B175" s="1"/>
      <c r="C175" s="46"/>
      <c r="D175" s="1"/>
      <c r="E175" s="1"/>
      <c r="F175" s="1"/>
      <c r="G175" s="46"/>
      <c r="H175" s="1"/>
      <c r="I175" s="1"/>
      <c r="J175" s="46"/>
      <c r="K175" s="46"/>
      <c r="L175" s="46"/>
      <c r="M175" s="1"/>
      <c r="N175" s="47"/>
      <c r="O175" s="46"/>
      <c r="P175" s="1"/>
      <c r="Q175" s="1"/>
      <c r="R175" s="46"/>
      <c r="S175" s="1"/>
      <c r="T175" s="1"/>
      <c r="U175" s="1"/>
      <c r="V175" s="43"/>
    </row>
    <row r="176" ht="15.75" customHeight="1">
      <c r="A176" s="1"/>
      <c r="B176" s="1"/>
      <c r="C176" s="46"/>
      <c r="D176" s="1"/>
      <c r="E176" s="1"/>
      <c r="F176" s="1"/>
      <c r="G176" s="46"/>
      <c r="H176" s="1"/>
      <c r="I176" s="1"/>
      <c r="J176" s="46"/>
      <c r="K176" s="46"/>
      <c r="L176" s="46"/>
      <c r="M176" s="1"/>
      <c r="N176" s="47"/>
      <c r="O176" s="46"/>
      <c r="P176" s="1"/>
      <c r="Q176" s="1"/>
      <c r="R176" s="46"/>
      <c r="S176" s="1"/>
      <c r="T176" s="1"/>
      <c r="U176" s="1"/>
      <c r="V176" s="43"/>
    </row>
    <row r="177" ht="15.75" customHeight="1">
      <c r="A177" s="1"/>
      <c r="B177" s="1"/>
      <c r="C177" s="46"/>
      <c r="D177" s="1"/>
      <c r="E177" s="1"/>
      <c r="F177" s="1"/>
      <c r="G177" s="46"/>
      <c r="H177" s="1"/>
      <c r="I177" s="1"/>
      <c r="J177" s="46"/>
      <c r="K177" s="46"/>
      <c r="L177" s="46"/>
      <c r="M177" s="1"/>
      <c r="N177" s="47"/>
      <c r="O177" s="46"/>
      <c r="P177" s="1"/>
      <c r="Q177" s="1"/>
      <c r="R177" s="46"/>
      <c r="S177" s="1"/>
      <c r="T177" s="1"/>
      <c r="U177" s="1"/>
      <c r="V177" s="43"/>
    </row>
    <row r="178" ht="15.75" customHeight="1">
      <c r="A178" s="1"/>
      <c r="B178" s="1"/>
      <c r="C178" s="46"/>
      <c r="D178" s="1"/>
      <c r="E178" s="1"/>
      <c r="F178" s="1"/>
      <c r="G178" s="46"/>
      <c r="H178" s="1"/>
      <c r="I178" s="1"/>
      <c r="J178" s="46"/>
      <c r="K178" s="46"/>
      <c r="L178" s="46"/>
      <c r="M178" s="1"/>
      <c r="N178" s="47"/>
      <c r="O178" s="46"/>
      <c r="P178" s="1"/>
      <c r="Q178" s="1"/>
      <c r="R178" s="46"/>
      <c r="S178" s="1"/>
      <c r="T178" s="1"/>
      <c r="U178" s="1"/>
      <c r="V178" s="43"/>
    </row>
    <row r="179" ht="15.75" customHeight="1">
      <c r="A179" s="1"/>
      <c r="B179" s="1"/>
      <c r="C179" s="46"/>
      <c r="D179" s="1"/>
      <c r="E179" s="1"/>
      <c r="F179" s="1"/>
      <c r="G179" s="46"/>
      <c r="H179" s="1"/>
      <c r="I179" s="1"/>
      <c r="J179" s="46"/>
      <c r="K179" s="46"/>
      <c r="L179" s="46"/>
      <c r="M179" s="1"/>
      <c r="N179" s="47"/>
      <c r="O179" s="46"/>
      <c r="P179" s="1"/>
      <c r="Q179" s="1"/>
      <c r="R179" s="46"/>
      <c r="S179" s="1"/>
      <c r="T179" s="1"/>
      <c r="U179" s="1"/>
      <c r="V179" s="43"/>
    </row>
    <row r="180" ht="15.75" customHeight="1">
      <c r="A180" s="1"/>
      <c r="B180" s="1"/>
      <c r="C180" s="46"/>
      <c r="D180" s="1"/>
      <c r="E180" s="1"/>
      <c r="F180" s="1"/>
      <c r="G180" s="46"/>
      <c r="H180" s="1"/>
      <c r="I180" s="1"/>
      <c r="J180" s="46"/>
      <c r="K180" s="46"/>
      <c r="L180" s="46"/>
      <c r="M180" s="1"/>
      <c r="N180" s="47"/>
      <c r="O180" s="46"/>
      <c r="P180" s="1"/>
      <c r="Q180" s="1"/>
      <c r="R180" s="46"/>
      <c r="S180" s="1"/>
      <c r="T180" s="1"/>
      <c r="U180" s="1"/>
      <c r="V180" s="43"/>
    </row>
    <row r="181" ht="15.75" customHeight="1">
      <c r="A181" s="1"/>
      <c r="B181" s="1"/>
      <c r="C181" s="46"/>
      <c r="D181" s="1"/>
      <c r="E181" s="1"/>
      <c r="F181" s="1"/>
      <c r="G181" s="46"/>
      <c r="H181" s="1"/>
      <c r="I181" s="1"/>
      <c r="J181" s="46"/>
      <c r="K181" s="46"/>
      <c r="L181" s="46"/>
      <c r="M181" s="1"/>
      <c r="N181" s="47"/>
      <c r="O181" s="46"/>
      <c r="P181" s="1"/>
      <c r="Q181" s="1"/>
      <c r="R181" s="46"/>
      <c r="S181" s="1"/>
      <c r="T181" s="1"/>
      <c r="U181" s="1"/>
      <c r="V181" s="43"/>
    </row>
    <row r="182" ht="15.75" customHeight="1">
      <c r="A182" s="1"/>
      <c r="B182" s="1"/>
      <c r="C182" s="46"/>
      <c r="D182" s="1"/>
      <c r="E182" s="1"/>
      <c r="F182" s="1"/>
      <c r="G182" s="46"/>
      <c r="H182" s="1"/>
      <c r="I182" s="1"/>
      <c r="J182" s="46"/>
      <c r="K182" s="46"/>
      <c r="L182" s="46"/>
      <c r="M182" s="1"/>
      <c r="N182" s="47"/>
      <c r="O182" s="46"/>
      <c r="P182" s="1"/>
      <c r="Q182" s="1"/>
      <c r="R182" s="46"/>
      <c r="S182" s="1"/>
      <c r="T182" s="1"/>
      <c r="U182" s="1"/>
      <c r="V182" s="43"/>
    </row>
    <row r="183" ht="15.75" customHeight="1">
      <c r="A183" s="1"/>
      <c r="B183" s="1"/>
      <c r="C183" s="46"/>
      <c r="D183" s="1"/>
      <c r="E183" s="1"/>
      <c r="F183" s="1"/>
      <c r="G183" s="46"/>
      <c r="H183" s="1"/>
      <c r="I183" s="1"/>
      <c r="J183" s="46"/>
      <c r="K183" s="46"/>
      <c r="L183" s="46"/>
      <c r="M183" s="1"/>
      <c r="N183" s="47"/>
      <c r="O183" s="46"/>
      <c r="P183" s="1"/>
      <c r="Q183" s="1"/>
      <c r="R183" s="46"/>
      <c r="S183" s="1"/>
      <c r="T183" s="1"/>
      <c r="U183" s="1"/>
      <c r="V183" s="43"/>
    </row>
    <row r="184" ht="15.75" customHeight="1">
      <c r="A184" s="1"/>
      <c r="B184" s="1"/>
      <c r="C184" s="46"/>
      <c r="D184" s="1"/>
      <c r="E184" s="1"/>
      <c r="F184" s="1"/>
      <c r="G184" s="46"/>
      <c r="H184" s="1"/>
      <c r="I184" s="1"/>
      <c r="J184" s="46"/>
      <c r="K184" s="46"/>
      <c r="L184" s="46"/>
      <c r="M184" s="1"/>
      <c r="N184" s="47"/>
      <c r="O184" s="46"/>
      <c r="P184" s="1"/>
      <c r="Q184" s="1"/>
      <c r="R184" s="46"/>
      <c r="S184" s="1"/>
      <c r="T184" s="1"/>
      <c r="U184" s="1"/>
      <c r="V184" s="43"/>
    </row>
    <row r="185" ht="15.75" customHeight="1">
      <c r="A185" s="1"/>
      <c r="B185" s="1"/>
      <c r="C185" s="46"/>
      <c r="D185" s="1"/>
      <c r="E185" s="1"/>
      <c r="F185" s="1"/>
      <c r="G185" s="46"/>
      <c r="H185" s="1"/>
      <c r="I185" s="1"/>
      <c r="J185" s="46"/>
      <c r="K185" s="46"/>
      <c r="L185" s="46"/>
      <c r="M185" s="1"/>
      <c r="N185" s="47"/>
      <c r="O185" s="46"/>
      <c r="P185" s="1"/>
      <c r="Q185" s="1"/>
      <c r="R185" s="46"/>
      <c r="S185" s="1"/>
      <c r="T185" s="1"/>
      <c r="U185" s="1"/>
      <c r="V185" s="43"/>
    </row>
    <row r="186" ht="15.75" customHeight="1">
      <c r="A186" s="1"/>
      <c r="B186" s="1"/>
      <c r="C186" s="46"/>
      <c r="D186" s="1"/>
      <c r="E186" s="1"/>
      <c r="F186" s="1"/>
      <c r="G186" s="46"/>
      <c r="H186" s="1"/>
      <c r="I186" s="1"/>
      <c r="J186" s="46"/>
      <c r="K186" s="46"/>
      <c r="L186" s="46"/>
      <c r="M186" s="1"/>
      <c r="N186" s="47"/>
      <c r="O186" s="46"/>
      <c r="P186" s="1"/>
      <c r="Q186" s="1"/>
      <c r="R186" s="46"/>
      <c r="S186" s="1"/>
      <c r="T186" s="1"/>
      <c r="U186" s="1"/>
      <c r="V186" s="43"/>
    </row>
    <row r="187" ht="15.75" customHeight="1">
      <c r="A187" s="1"/>
      <c r="B187" s="1"/>
      <c r="C187" s="46"/>
      <c r="D187" s="1"/>
      <c r="E187" s="1"/>
      <c r="F187" s="1"/>
      <c r="G187" s="46"/>
      <c r="H187" s="1"/>
      <c r="I187" s="1"/>
      <c r="J187" s="46"/>
      <c r="K187" s="46"/>
      <c r="L187" s="46"/>
      <c r="M187" s="1"/>
      <c r="N187" s="47"/>
      <c r="O187" s="46"/>
      <c r="P187" s="1"/>
      <c r="Q187" s="1"/>
      <c r="R187" s="46"/>
      <c r="S187" s="1"/>
      <c r="T187" s="1"/>
      <c r="U187" s="1"/>
      <c r="V187" s="43"/>
    </row>
    <row r="188" ht="15.75" customHeight="1">
      <c r="A188" s="1"/>
      <c r="B188" s="1"/>
      <c r="C188" s="46"/>
      <c r="D188" s="1"/>
      <c r="E188" s="1"/>
      <c r="F188" s="1"/>
      <c r="G188" s="46"/>
      <c r="H188" s="1"/>
      <c r="I188" s="1"/>
      <c r="J188" s="46"/>
      <c r="K188" s="46"/>
      <c r="L188" s="46"/>
      <c r="M188" s="1"/>
      <c r="N188" s="47"/>
      <c r="O188" s="46"/>
      <c r="P188" s="1"/>
      <c r="Q188" s="1"/>
      <c r="R188" s="46"/>
      <c r="S188" s="1"/>
      <c r="T188" s="1"/>
      <c r="U188" s="1"/>
      <c r="V188" s="43"/>
    </row>
    <row r="189" ht="15.75" customHeight="1">
      <c r="A189" s="1"/>
      <c r="B189" s="1"/>
      <c r="C189" s="46"/>
      <c r="D189" s="1"/>
      <c r="E189" s="1"/>
      <c r="F189" s="1"/>
      <c r="G189" s="46"/>
      <c r="H189" s="1"/>
      <c r="I189" s="1"/>
      <c r="J189" s="46"/>
      <c r="K189" s="46"/>
      <c r="L189" s="46"/>
      <c r="M189" s="1"/>
      <c r="N189" s="47"/>
      <c r="O189" s="46"/>
      <c r="P189" s="1"/>
      <c r="Q189" s="1"/>
      <c r="R189" s="46"/>
      <c r="S189" s="1"/>
      <c r="T189" s="1"/>
      <c r="U189" s="1"/>
      <c r="V189" s="43"/>
    </row>
    <row r="190" ht="15.75" customHeight="1">
      <c r="A190" s="1"/>
      <c r="B190" s="1"/>
      <c r="C190" s="46"/>
      <c r="D190" s="1"/>
      <c r="E190" s="1"/>
      <c r="F190" s="1"/>
      <c r="G190" s="46"/>
      <c r="H190" s="1"/>
      <c r="I190" s="1"/>
      <c r="J190" s="46"/>
      <c r="K190" s="46"/>
      <c r="L190" s="46"/>
      <c r="M190" s="1"/>
      <c r="N190" s="47"/>
      <c r="O190" s="46"/>
      <c r="P190" s="1"/>
      <c r="Q190" s="1"/>
      <c r="R190" s="46"/>
      <c r="S190" s="1"/>
      <c r="T190" s="1"/>
      <c r="U190" s="1"/>
      <c r="V190" s="43"/>
    </row>
    <row r="191" ht="15.75" customHeight="1">
      <c r="A191" s="1"/>
      <c r="B191" s="1"/>
      <c r="C191" s="46"/>
      <c r="D191" s="1"/>
      <c r="E191" s="1"/>
      <c r="F191" s="1"/>
      <c r="G191" s="46"/>
      <c r="H191" s="1"/>
      <c r="I191" s="1"/>
      <c r="J191" s="46"/>
      <c r="K191" s="46"/>
      <c r="L191" s="46"/>
      <c r="M191" s="1"/>
      <c r="N191" s="47"/>
      <c r="O191" s="46"/>
      <c r="P191" s="1"/>
      <c r="Q191" s="1"/>
      <c r="R191" s="46"/>
      <c r="S191" s="1"/>
      <c r="T191" s="1"/>
      <c r="U191" s="1"/>
      <c r="V191" s="43"/>
    </row>
    <row r="192" ht="15.75" customHeight="1">
      <c r="A192" s="1"/>
      <c r="B192" s="1"/>
      <c r="C192" s="46"/>
      <c r="D192" s="1"/>
      <c r="E192" s="1"/>
      <c r="F192" s="1"/>
      <c r="G192" s="46"/>
      <c r="H192" s="1"/>
      <c r="I192" s="1"/>
      <c r="J192" s="46"/>
      <c r="K192" s="46"/>
      <c r="L192" s="46"/>
      <c r="M192" s="1"/>
      <c r="N192" s="47"/>
      <c r="O192" s="46"/>
      <c r="P192" s="1"/>
      <c r="Q192" s="1"/>
      <c r="R192" s="46"/>
      <c r="S192" s="1"/>
      <c r="T192" s="1"/>
      <c r="U192" s="1"/>
      <c r="V192" s="43"/>
    </row>
    <row r="193" ht="15.75" customHeight="1">
      <c r="A193" s="1"/>
      <c r="B193" s="1"/>
      <c r="C193" s="46"/>
      <c r="D193" s="1"/>
      <c r="E193" s="1"/>
      <c r="F193" s="1"/>
      <c r="G193" s="46"/>
      <c r="H193" s="1"/>
      <c r="I193" s="1"/>
      <c r="J193" s="46"/>
      <c r="K193" s="46"/>
      <c r="L193" s="46"/>
      <c r="M193" s="1"/>
      <c r="N193" s="47"/>
      <c r="O193" s="46"/>
      <c r="P193" s="1"/>
      <c r="Q193" s="1"/>
      <c r="R193" s="46"/>
      <c r="S193" s="1"/>
      <c r="T193" s="1"/>
      <c r="U193" s="1"/>
      <c r="V193" s="43"/>
    </row>
    <row r="194" ht="15.75" customHeight="1">
      <c r="A194" s="1"/>
      <c r="B194" s="1"/>
      <c r="C194" s="46"/>
      <c r="D194" s="1"/>
      <c r="E194" s="1"/>
      <c r="F194" s="1"/>
      <c r="G194" s="46"/>
      <c r="H194" s="1"/>
      <c r="I194" s="1"/>
      <c r="J194" s="46"/>
      <c r="K194" s="46"/>
      <c r="L194" s="46"/>
      <c r="M194" s="1"/>
      <c r="N194" s="47"/>
      <c r="O194" s="46"/>
      <c r="P194" s="1"/>
      <c r="Q194" s="1"/>
      <c r="R194" s="46"/>
      <c r="S194" s="1"/>
      <c r="T194" s="1"/>
      <c r="U194" s="1"/>
      <c r="V194" s="43"/>
    </row>
    <row r="195" ht="15.75" customHeight="1">
      <c r="A195" s="1"/>
      <c r="B195" s="1"/>
      <c r="C195" s="46"/>
      <c r="D195" s="1"/>
      <c r="E195" s="1"/>
      <c r="F195" s="1"/>
      <c r="G195" s="46"/>
      <c r="H195" s="1"/>
      <c r="I195" s="1"/>
      <c r="J195" s="46"/>
      <c r="K195" s="46"/>
      <c r="L195" s="46"/>
      <c r="M195" s="1"/>
      <c r="N195" s="47"/>
      <c r="O195" s="46"/>
      <c r="P195" s="1"/>
      <c r="Q195" s="1"/>
      <c r="R195" s="46"/>
      <c r="S195" s="1"/>
      <c r="T195" s="1"/>
      <c r="U195" s="1"/>
      <c r="V195" s="43"/>
    </row>
    <row r="196" ht="15.75" customHeight="1">
      <c r="A196" s="1"/>
      <c r="B196" s="1"/>
      <c r="C196" s="46"/>
      <c r="D196" s="1"/>
      <c r="E196" s="1"/>
      <c r="F196" s="1"/>
      <c r="G196" s="46"/>
      <c r="H196" s="1"/>
      <c r="I196" s="1"/>
      <c r="J196" s="46"/>
      <c r="K196" s="46"/>
      <c r="L196" s="46"/>
      <c r="M196" s="1"/>
      <c r="N196" s="47"/>
      <c r="O196" s="46"/>
      <c r="P196" s="1"/>
      <c r="Q196" s="1"/>
      <c r="R196" s="46"/>
      <c r="S196" s="1"/>
      <c r="T196" s="1"/>
      <c r="U196" s="1"/>
      <c r="V196" s="43"/>
    </row>
    <row r="197" ht="15.75" customHeight="1">
      <c r="A197" s="1"/>
      <c r="B197" s="1"/>
      <c r="C197" s="46"/>
      <c r="D197" s="1"/>
      <c r="E197" s="1"/>
      <c r="F197" s="1"/>
      <c r="G197" s="46"/>
      <c r="H197" s="1"/>
      <c r="I197" s="1"/>
      <c r="J197" s="46"/>
      <c r="K197" s="46"/>
      <c r="L197" s="46"/>
      <c r="M197" s="1"/>
      <c r="N197" s="47"/>
      <c r="O197" s="46"/>
      <c r="P197" s="1"/>
      <c r="Q197" s="1"/>
      <c r="R197" s="46"/>
      <c r="S197" s="1"/>
      <c r="T197" s="1"/>
      <c r="U197" s="1"/>
      <c r="V197" s="43"/>
    </row>
    <row r="198" ht="15.75" customHeight="1">
      <c r="A198" s="1"/>
      <c r="B198" s="1"/>
      <c r="C198" s="46"/>
      <c r="D198" s="1"/>
      <c r="E198" s="1"/>
      <c r="F198" s="1"/>
      <c r="G198" s="46"/>
      <c r="H198" s="1"/>
      <c r="I198" s="1"/>
      <c r="J198" s="46"/>
      <c r="K198" s="46"/>
      <c r="L198" s="46"/>
      <c r="M198" s="1"/>
      <c r="N198" s="47"/>
      <c r="O198" s="46"/>
      <c r="P198" s="1"/>
      <c r="Q198" s="1"/>
      <c r="R198" s="46"/>
      <c r="S198" s="1"/>
      <c r="T198" s="1"/>
      <c r="U198" s="1"/>
      <c r="V198" s="43"/>
    </row>
    <row r="199" ht="15.75" customHeight="1">
      <c r="A199" s="1"/>
      <c r="B199" s="1"/>
      <c r="C199" s="46"/>
      <c r="D199" s="1"/>
      <c r="E199" s="1"/>
      <c r="F199" s="1"/>
      <c r="G199" s="46"/>
      <c r="H199" s="1"/>
      <c r="I199" s="1"/>
      <c r="J199" s="46"/>
      <c r="K199" s="46"/>
      <c r="L199" s="46"/>
      <c r="M199" s="1"/>
      <c r="N199" s="47"/>
      <c r="O199" s="46"/>
      <c r="P199" s="1"/>
      <c r="Q199" s="1"/>
      <c r="R199" s="46"/>
      <c r="S199" s="1"/>
      <c r="T199" s="1"/>
      <c r="U199" s="1"/>
      <c r="V199" s="43"/>
    </row>
    <row r="200" ht="15.75" customHeight="1">
      <c r="A200" s="1"/>
      <c r="B200" s="1"/>
      <c r="C200" s="46"/>
      <c r="D200" s="1"/>
      <c r="E200" s="1"/>
      <c r="F200" s="1"/>
      <c r="G200" s="46"/>
      <c r="H200" s="1"/>
      <c r="I200" s="1"/>
      <c r="J200" s="46"/>
      <c r="K200" s="46"/>
      <c r="L200" s="46"/>
      <c r="M200" s="1"/>
      <c r="N200" s="47"/>
      <c r="O200" s="46"/>
      <c r="P200" s="1"/>
      <c r="Q200" s="1"/>
      <c r="R200" s="46"/>
      <c r="S200" s="1"/>
      <c r="T200" s="1"/>
      <c r="U200" s="1"/>
      <c r="V200" s="43"/>
    </row>
    <row r="201" ht="15.75" customHeight="1">
      <c r="A201" s="1"/>
      <c r="B201" s="1"/>
      <c r="C201" s="46"/>
      <c r="D201" s="1"/>
      <c r="E201" s="1"/>
      <c r="F201" s="1"/>
      <c r="G201" s="46"/>
      <c r="H201" s="1"/>
      <c r="I201" s="1"/>
      <c r="J201" s="46"/>
      <c r="K201" s="46"/>
      <c r="L201" s="46"/>
      <c r="M201" s="1"/>
      <c r="N201" s="47"/>
      <c r="O201" s="46"/>
      <c r="P201" s="1"/>
      <c r="Q201" s="1"/>
      <c r="R201" s="46"/>
      <c r="S201" s="1"/>
      <c r="T201" s="1"/>
      <c r="U201" s="1"/>
      <c r="V201" s="43"/>
    </row>
    <row r="202" ht="15.75" customHeight="1">
      <c r="A202" s="1"/>
      <c r="B202" s="1"/>
      <c r="C202" s="46"/>
      <c r="D202" s="1"/>
      <c r="E202" s="1"/>
      <c r="F202" s="1"/>
      <c r="G202" s="46"/>
      <c r="H202" s="1"/>
      <c r="I202" s="1"/>
      <c r="J202" s="46"/>
      <c r="K202" s="46"/>
      <c r="L202" s="46"/>
      <c r="M202" s="1"/>
      <c r="N202" s="47"/>
      <c r="O202" s="46"/>
      <c r="P202" s="1"/>
      <c r="Q202" s="1"/>
      <c r="R202" s="46"/>
      <c r="S202" s="1"/>
      <c r="T202" s="1"/>
      <c r="U202" s="1"/>
      <c r="V202" s="43"/>
    </row>
    <row r="203" ht="15.75" customHeight="1">
      <c r="A203" s="1"/>
      <c r="B203" s="1"/>
      <c r="C203" s="46"/>
      <c r="D203" s="1"/>
      <c r="E203" s="1"/>
      <c r="F203" s="1"/>
      <c r="G203" s="46"/>
      <c r="H203" s="1"/>
      <c r="I203" s="1"/>
      <c r="J203" s="46"/>
      <c r="K203" s="46"/>
      <c r="L203" s="46"/>
      <c r="M203" s="1"/>
      <c r="N203" s="47"/>
      <c r="O203" s="46"/>
      <c r="P203" s="1"/>
      <c r="Q203" s="1"/>
      <c r="R203" s="46"/>
      <c r="S203" s="1"/>
      <c r="T203" s="1"/>
      <c r="U203" s="1"/>
      <c r="V203" s="43"/>
    </row>
    <row r="204" ht="15.75" customHeight="1">
      <c r="A204" s="1"/>
      <c r="B204" s="1"/>
      <c r="C204" s="46"/>
      <c r="D204" s="1"/>
      <c r="E204" s="1"/>
      <c r="F204" s="1"/>
      <c r="G204" s="46"/>
      <c r="H204" s="1"/>
      <c r="I204" s="1"/>
      <c r="J204" s="46"/>
      <c r="K204" s="46"/>
      <c r="L204" s="46"/>
      <c r="M204" s="1"/>
      <c r="N204" s="47"/>
      <c r="O204" s="46"/>
      <c r="P204" s="1"/>
      <c r="Q204" s="1"/>
      <c r="R204" s="46"/>
      <c r="S204" s="1"/>
      <c r="T204" s="1"/>
      <c r="U204" s="1"/>
      <c r="V204" s="43"/>
    </row>
    <row r="205" ht="15.75" customHeight="1">
      <c r="A205" s="1"/>
      <c r="B205" s="1"/>
      <c r="C205" s="46"/>
      <c r="D205" s="1"/>
      <c r="E205" s="1"/>
      <c r="F205" s="1"/>
      <c r="G205" s="46"/>
      <c r="H205" s="1"/>
      <c r="I205" s="1"/>
      <c r="J205" s="46"/>
      <c r="K205" s="46"/>
      <c r="L205" s="46"/>
      <c r="M205" s="1"/>
      <c r="N205" s="47"/>
      <c r="O205" s="46"/>
      <c r="P205" s="1"/>
      <c r="Q205" s="1"/>
      <c r="R205" s="46"/>
      <c r="S205" s="1"/>
      <c r="T205" s="1"/>
      <c r="U205" s="1"/>
      <c r="V205" s="43"/>
    </row>
    <row r="206" ht="15.75" customHeight="1">
      <c r="A206" s="1"/>
      <c r="B206" s="1"/>
      <c r="C206" s="46"/>
      <c r="D206" s="1"/>
      <c r="E206" s="1"/>
      <c r="F206" s="1"/>
      <c r="G206" s="46"/>
      <c r="H206" s="1"/>
      <c r="I206" s="1"/>
      <c r="J206" s="46"/>
      <c r="K206" s="46"/>
      <c r="L206" s="46"/>
      <c r="M206" s="1"/>
      <c r="N206" s="47"/>
      <c r="O206" s="46"/>
      <c r="P206" s="1"/>
      <c r="Q206" s="1"/>
      <c r="R206" s="46"/>
      <c r="S206" s="1"/>
      <c r="T206" s="1"/>
      <c r="U206" s="1"/>
      <c r="V206" s="43"/>
    </row>
    <row r="207" ht="15.75" customHeight="1">
      <c r="A207" s="1"/>
      <c r="B207" s="1"/>
      <c r="C207" s="46"/>
      <c r="D207" s="1"/>
      <c r="E207" s="1"/>
      <c r="F207" s="1"/>
      <c r="G207" s="46"/>
      <c r="H207" s="1"/>
      <c r="I207" s="1"/>
      <c r="J207" s="46"/>
      <c r="K207" s="46"/>
      <c r="L207" s="46"/>
      <c r="M207" s="1"/>
      <c r="N207" s="47"/>
      <c r="O207" s="46"/>
      <c r="P207" s="1"/>
      <c r="Q207" s="1"/>
      <c r="R207" s="46"/>
      <c r="S207" s="1"/>
      <c r="T207" s="1"/>
      <c r="U207" s="1"/>
      <c r="V207" s="43"/>
    </row>
    <row r="208" ht="15.75" customHeight="1">
      <c r="A208" s="1"/>
      <c r="B208" s="1"/>
      <c r="C208" s="46"/>
      <c r="D208" s="1"/>
      <c r="E208" s="1"/>
      <c r="F208" s="1"/>
      <c r="G208" s="46"/>
      <c r="H208" s="1"/>
      <c r="I208" s="1"/>
      <c r="J208" s="46"/>
      <c r="K208" s="46"/>
      <c r="L208" s="46"/>
      <c r="M208" s="1"/>
      <c r="N208" s="47"/>
      <c r="O208" s="46"/>
      <c r="P208" s="1"/>
      <c r="Q208" s="1"/>
      <c r="R208" s="46"/>
      <c r="S208" s="1"/>
      <c r="T208" s="1"/>
      <c r="U208" s="1"/>
      <c r="V208" s="43"/>
    </row>
    <row r="209" ht="15.75" customHeight="1">
      <c r="A209" s="1"/>
      <c r="B209" s="1"/>
      <c r="C209" s="46"/>
      <c r="D209" s="1"/>
      <c r="E209" s="1"/>
      <c r="F209" s="1"/>
      <c r="G209" s="46"/>
      <c r="H209" s="1"/>
      <c r="I209" s="1"/>
      <c r="J209" s="46"/>
      <c r="K209" s="46"/>
      <c r="L209" s="46"/>
      <c r="M209" s="1"/>
      <c r="N209" s="47"/>
      <c r="O209" s="46"/>
      <c r="P209" s="1"/>
      <c r="Q209" s="1"/>
      <c r="R209" s="46"/>
      <c r="S209" s="1"/>
      <c r="T209" s="1"/>
      <c r="U209" s="1"/>
      <c r="V209" s="43"/>
    </row>
    <row r="210" ht="15.75" customHeight="1">
      <c r="A210" s="1"/>
      <c r="B210" s="1"/>
      <c r="C210" s="46"/>
      <c r="D210" s="1"/>
      <c r="E210" s="1"/>
      <c r="F210" s="1"/>
      <c r="G210" s="46"/>
      <c r="H210" s="1"/>
      <c r="I210" s="1"/>
      <c r="J210" s="46"/>
      <c r="K210" s="46"/>
      <c r="L210" s="46"/>
      <c r="M210" s="1"/>
      <c r="N210" s="47"/>
      <c r="O210" s="46"/>
      <c r="P210" s="1"/>
      <c r="Q210" s="1"/>
      <c r="R210" s="46"/>
      <c r="S210" s="1"/>
      <c r="T210" s="1"/>
      <c r="U210" s="1"/>
      <c r="V210" s="43"/>
    </row>
    <row r="211" ht="15.75" customHeight="1">
      <c r="A211" s="1"/>
      <c r="B211" s="1"/>
      <c r="C211" s="46"/>
      <c r="D211" s="1"/>
      <c r="E211" s="1"/>
      <c r="F211" s="1"/>
      <c r="G211" s="46"/>
      <c r="H211" s="1"/>
      <c r="I211" s="1"/>
      <c r="J211" s="46"/>
      <c r="K211" s="46"/>
      <c r="L211" s="46"/>
      <c r="M211" s="1"/>
      <c r="N211" s="47"/>
      <c r="O211" s="46"/>
      <c r="P211" s="1"/>
      <c r="Q211" s="1"/>
      <c r="R211" s="46"/>
      <c r="S211" s="1"/>
      <c r="T211" s="1"/>
      <c r="U211" s="1"/>
      <c r="V211" s="43"/>
    </row>
    <row r="212" ht="15.75" customHeight="1">
      <c r="A212" s="1"/>
      <c r="B212" s="1"/>
      <c r="C212" s="46"/>
      <c r="D212" s="1"/>
      <c r="E212" s="1"/>
      <c r="F212" s="1"/>
      <c r="G212" s="46"/>
      <c r="H212" s="1"/>
      <c r="I212" s="1"/>
      <c r="J212" s="46"/>
      <c r="K212" s="46"/>
      <c r="L212" s="46"/>
      <c r="M212" s="1"/>
      <c r="N212" s="47"/>
      <c r="O212" s="46"/>
      <c r="P212" s="1"/>
      <c r="Q212" s="1"/>
      <c r="R212" s="46"/>
      <c r="S212" s="1"/>
      <c r="T212" s="1"/>
      <c r="U212" s="1"/>
      <c r="V212" s="43"/>
    </row>
    <row r="213" ht="15.75" customHeight="1">
      <c r="A213" s="1"/>
      <c r="B213" s="1"/>
      <c r="C213" s="46"/>
      <c r="D213" s="1"/>
      <c r="E213" s="1"/>
      <c r="F213" s="1"/>
      <c r="G213" s="46"/>
      <c r="H213" s="1"/>
      <c r="I213" s="1"/>
      <c r="J213" s="46"/>
      <c r="K213" s="46"/>
      <c r="L213" s="46"/>
      <c r="M213" s="1"/>
      <c r="N213" s="47"/>
      <c r="O213" s="46"/>
      <c r="P213" s="1"/>
      <c r="Q213" s="1"/>
      <c r="R213" s="46"/>
      <c r="S213" s="1"/>
      <c r="T213" s="1"/>
      <c r="U213" s="1"/>
      <c r="V213" s="43"/>
    </row>
    <row r="214" ht="15.75" customHeight="1">
      <c r="A214" s="1"/>
      <c r="B214" s="1"/>
      <c r="C214" s="46"/>
      <c r="D214" s="1"/>
      <c r="E214" s="1"/>
      <c r="F214" s="1"/>
      <c r="G214" s="46"/>
      <c r="H214" s="1"/>
      <c r="I214" s="1"/>
      <c r="J214" s="46"/>
      <c r="K214" s="46"/>
      <c r="L214" s="46"/>
      <c r="M214" s="1"/>
      <c r="N214" s="47"/>
      <c r="O214" s="46"/>
      <c r="P214" s="1"/>
      <c r="Q214" s="1"/>
      <c r="R214" s="46"/>
      <c r="S214" s="1"/>
      <c r="T214" s="1"/>
      <c r="U214" s="1"/>
      <c r="V214" s="43"/>
    </row>
    <row r="215" ht="15.75" customHeight="1">
      <c r="A215" s="1"/>
      <c r="B215" s="1"/>
      <c r="C215" s="46"/>
      <c r="D215" s="1"/>
      <c r="E215" s="1"/>
      <c r="F215" s="1"/>
      <c r="G215" s="46"/>
      <c r="H215" s="1"/>
      <c r="I215" s="1"/>
      <c r="J215" s="46"/>
      <c r="K215" s="46"/>
      <c r="L215" s="46"/>
      <c r="M215" s="1"/>
      <c r="N215" s="47"/>
      <c r="O215" s="46"/>
      <c r="P215" s="1"/>
      <c r="Q215" s="1"/>
      <c r="R215" s="46"/>
      <c r="S215" s="1"/>
      <c r="T215" s="1"/>
      <c r="U215" s="1"/>
      <c r="V215" s="43"/>
    </row>
    <row r="216" ht="15.75" customHeight="1">
      <c r="A216" s="1"/>
      <c r="B216" s="1"/>
      <c r="C216" s="46"/>
      <c r="D216" s="1"/>
      <c r="E216" s="1"/>
      <c r="F216" s="1"/>
      <c r="G216" s="46"/>
      <c r="H216" s="1"/>
      <c r="I216" s="1"/>
      <c r="J216" s="46"/>
      <c r="K216" s="46"/>
      <c r="L216" s="46"/>
      <c r="M216" s="1"/>
      <c r="N216" s="47"/>
      <c r="O216" s="46"/>
      <c r="P216" s="1"/>
      <c r="Q216" s="1"/>
      <c r="R216" s="46"/>
      <c r="S216" s="1"/>
      <c r="T216" s="1"/>
      <c r="U216" s="1"/>
      <c r="V216" s="43"/>
    </row>
    <row r="217" ht="15.75" customHeight="1">
      <c r="A217" s="1"/>
      <c r="B217" s="1"/>
      <c r="C217" s="46"/>
      <c r="D217" s="1"/>
      <c r="E217" s="1"/>
      <c r="F217" s="1"/>
      <c r="G217" s="46"/>
      <c r="H217" s="1"/>
      <c r="I217" s="1"/>
      <c r="J217" s="46"/>
      <c r="K217" s="46"/>
      <c r="L217" s="46"/>
      <c r="M217" s="1"/>
      <c r="N217" s="47"/>
      <c r="O217" s="46"/>
      <c r="P217" s="1"/>
      <c r="Q217" s="1"/>
      <c r="R217" s="46"/>
      <c r="S217" s="1"/>
      <c r="T217" s="1"/>
      <c r="U217" s="1"/>
      <c r="V217" s="43"/>
    </row>
    <row r="218" ht="15.75" customHeight="1">
      <c r="A218" s="1"/>
      <c r="B218" s="1"/>
      <c r="C218" s="46"/>
      <c r="D218" s="1"/>
      <c r="E218" s="1"/>
      <c r="F218" s="1"/>
      <c r="G218" s="46"/>
      <c r="H218" s="1"/>
      <c r="I218" s="1"/>
      <c r="J218" s="46"/>
      <c r="K218" s="46"/>
      <c r="L218" s="46"/>
      <c r="M218" s="1"/>
      <c r="N218" s="47"/>
      <c r="O218" s="46"/>
      <c r="P218" s="1"/>
      <c r="Q218" s="1"/>
      <c r="R218" s="46"/>
      <c r="S218" s="1"/>
      <c r="T218" s="1"/>
      <c r="U218" s="1"/>
      <c r="V218" s="43"/>
    </row>
    <row r="219" ht="15.75" customHeight="1">
      <c r="A219" s="1"/>
      <c r="B219" s="1"/>
      <c r="C219" s="46"/>
      <c r="D219" s="1"/>
      <c r="E219" s="1"/>
      <c r="F219" s="1"/>
      <c r="G219" s="46"/>
      <c r="H219" s="1"/>
      <c r="I219" s="1"/>
      <c r="J219" s="46"/>
      <c r="K219" s="46"/>
      <c r="L219" s="46"/>
      <c r="M219" s="1"/>
      <c r="N219" s="47"/>
      <c r="O219" s="46"/>
      <c r="P219" s="1"/>
      <c r="Q219" s="1"/>
      <c r="R219" s="46"/>
      <c r="S219" s="1"/>
      <c r="T219" s="1"/>
      <c r="U219" s="1"/>
      <c r="V219" s="43"/>
    </row>
    <row r="220" ht="15.75" customHeight="1">
      <c r="A220" s="1"/>
      <c r="B220" s="1"/>
      <c r="C220" s="46"/>
      <c r="D220" s="1"/>
      <c r="E220" s="1"/>
      <c r="F220" s="1"/>
      <c r="G220" s="46"/>
      <c r="H220" s="1"/>
      <c r="I220" s="1"/>
      <c r="J220" s="46"/>
      <c r="K220" s="46"/>
      <c r="L220" s="46"/>
      <c r="M220" s="1"/>
      <c r="N220" s="47"/>
      <c r="O220" s="46"/>
      <c r="P220" s="1"/>
      <c r="Q220" s="1"/>
      <c r="R220" s="46"/>
      <c r="S220" s="1"/>
      <c r="T220" s="1"/>
      <c r="U220" s="1"/>
      <c r="V220" s="43"/>
    </row>
    <row r="221" ht="15.75" customHeight="1">
      <c r="A221" s="1"/>
      <c r="B221" s="1"/>
      <c r="C221" s="46"/>
      <c r="D221" s="1"/>
      <c r="E221" s="1"/>
      <c r="F221" s="1"/>
      <c r="G221" s="46"/>
      <c r="H221" s="1"/>
      <c r="I221" s="1"/>
      <c r="J221" s="46"/>
      <c r="K221" s="46"/>
      <c r="L221" s="46"/>
      <c r="M221" s="1"/>
      <c r="N221" s="47"/>
      <c r="O221" s="46"/>
      <c r="P221" s="1"/>
      <c r="Q221" s="1"/>
      <c r="R221" s="46"/>
      <c r="S221" s="1"/>
      <c r="T221" s="1"/>
      <c r="U221" s="1"/>
      <c r="V221" s="43"/>
    </row>
    <row r="222" ht="15.75" customHeight="1">
      <c r="A222" s="1"/>
      <c r="B222" s="1"/>
      <c r="C222" s="46"/>
      <c r="D222" s="1"/>
      <c r="E222" s="1"/>
      <c r="F222" s="1"/>
      <c r="G222" s="46"/>
      <c r="H222" s="1"/>
      <c r="I222" s="1"/>
      <c r="J222" s="46"/>
      <c r="K222" s="46"/>
      <c r="L222" s="46"/>
      <c r="M222" s="1"/>
      <c r="N222" s="47"/>
      <c r="O222" s="46"/>
      <c r="P222" s="1"/>
      <c r="Q222" s="1"/>
      <c r="R222" s="46"/>
      <c r="S222" s="1"/>
      <c r="T222" s="1"/>
      <c r="U222" s="1"/>
      <c r="V222" s="43"/>
    </row>
    <row r="223" ht="15.75" customHeight="1">
      <c r="A223" s="1"/>
      <c r="B223" s="1"/>
      <c r="C223" s="46"/>
      <c r="D223" s="1"/>
      <c r="E223" s="1"/>
      <c r="F223" s="1"/>
      <c r="G223" s="46"/>
      <c r="H223" s="1"/>
      <c r="I223" s="1"/>
      <c r="J223" s="46"/>
      <c r="K223" s="46"/>
      <c r="L223" s="46"/>
      <c r="M223" s="1"/>
      <c r="N223" s="47"/>
      <c r="O223" s="46"/>
      <c r="P223" s="1"/>
      <c r="Q223" s="1"/>
      <c r="R223" s="46"/>
      <c r="S223" s="1"/>
      <c r="T223" s="1"/>
      <c r="U223" s="1"/>
      <c r="V223" s="43"/>
    </row>
    <row r="224" ht="15.75" customHeight="1">
      <c r="A224" s="1"/>
      <c r="B224" s="1"/>
      <c r="C224" s="46"/>
      <c r="D224" s="1"/>
      <c r="E224" s="1"/>
      <c r="F224" s="1"/>
      <c r="G224" s="46"/>
      <c r="H224" s="1"/>
      <c r="I224" s="1"/>
      <c r="J224" s="46"/>
      <c r="K224" s="46"/>
      <c r="L224" s="46"/>
      <c r="M224" s="1"/>
      <c r="N224" s="47"/>
      <c r="O224" s="46"/>
      <c r="P224" s="1"/>
      <c r="Q224" s="1"/>
      <c r="R224" s="46"/>
      <c r="S224" s="1"/>
      <c r="T224" s="1"/>
      <c r="U224" s="1"/>
      <c r="V224" s="43"/>
    </row>
    <row r="225" ht="15.75" customHeight="1">
      <c r="A225" s="1"/>
      <c r="B225" s="1"/>
      <c r="C225" s="46"/>
      <c r="D225" s="1"/>
      <c r="E225" s="1"/>
      <c r="F225" s="1"/>
      <c r="G225" s="46"/>
      <c r="H225" s="1"/>
      <c r="I225" s="1"/>
      <c r="J225" s="46"/>
      <c r="K225" s="46"/>
      <c r="L225" s="46"/>
      <c r="M225" s="1"/>
      <c r="N225" s="47"/>
      <c r="O225" s="46"/>
      <c r="P225" s="1"/>
      <c r="Q225" s="1"/>
      <c r="R225" s="46"/>
      <c r="S225" s="1"/>
      <c r="T225" s="1"/>
      <c r="U225" s="1"/>
      <c r="V225" s="43"/>
    </row>
    <row r="226" ht="15.75" customHeight="1">
      <c r="A226" s="1"/>
      <c r="B226" s="1"/>
      <c r="C226" s="46"/>
      <c r="D226" s="1"/>
      <c r="E226" s="1"/>
      <c r="F226" s="1"/>
      <c r="G226" s="46"/>
      <c r="H226" s="1"/>
      <c r="I226" s="1"/>
      <c r="J226" s="46"/>
      <c r="K226" s="46"/>
      <c r="L226" s="46"/>
      <c r="M226" s="1"/>
      <c r="N226" s="47"/>
      <c r="O226" s="46"/>
      <c r="P226" s="1"/>
      <c r="Q226" s="1"/>
      <c r="R226" s="46"/>
      <c r="S226" s="1"/>
      <c r="T226" s="1"/>
      <c r="U226" s="1"/>
      <c r="V226" s="43"/>
    </row>
    <row r="227" ht="15.75" customHeight="1">
      <c r="A227" s="1"/>
      <c r="B227" s="1"/>
      <c r="C227" s="46"/>
      <c r="D227" s="1"/>
      <c r="E227" s="1"/>
      <c r="F227" s="1"/>
      <c r="G227" s="46"/>
      <c r="H227" s="1"/>
      <c r="I227" s="1"/>
      <c r="J227" s="46"/>
      <c r="K227" s="46"/>
      <c r="L227" s="46"/>
      <c r="M227" s="1"/>
      <c r="N227" s="47"/>
      <c r="O227" s="46"/>
      <c r="P227" s="1"/>
      <c r="Q227" s="1"/>
      <c r="R227" s="46"/>
      <c r="S227" s="1"/>
      <c r="T227" s="1"/>
      <c r="U227" s="1"/>
      <c r="V227" s="43"/>
    </row>
    <row r="228" ht="15.75" customHeight="1">
      <c r="A228" s="1"/>
      <c r="B228" s="1"/>
      <c r="C228" s="46"/>
      <c r="D228" s="1"/>
      <c r="E228" s="1"/>
      <c r="F228" s="1"/>
      <c r="G228" s="46"/>
      <c r="H228" s="1"/>
      <c r="I228" s="1"/>
      <c r="J228" s="46"/>
      <c r="K228" s="46"/>
      <c r="L228" s="46"/>
      <c r="M228" s="1"/>
      <c r="N228" s="47"/>
      <c r="O228" s="46"/>
      <c r="P228" s="1"/>
      <c r="Q228" s="1"/>
      <c r="R228" s="46"/>
      <c r="S228" s="1"/>
      <c r="T228" s="1"/>
      <c r="U228" s="1"/>
      <c r="V228" s="43"/>
    </row>
    <row r="229" ht="15.75" customHeight="1">
      <c r="A229" s="1"/>
      <c r="B229" s="1"/>
      <c r="C229" s="46"/>
      <c r="D229" s="1"/>
      <c r="E229" s="1"/>
      <c r="F229" s="1"/>
      <c r="G229" s="46"/>
      <c r="H229" s="1"/>
      <c r="I229" s="1"/>
      <c r="J229" s="46"/>
      <c r="K229" s="46"/>
      <c r="L229" s="46"/>
      <c r="M229" s="1"/>
      <c r="N229" s="47"/>
      <c r="O229" s="46"/>
      <c r="P229" s="1"/>
      <c r="Q229" s="1"/>
      <c r="R229" s="46"/>
      <c r="S229" s="1"/>
      <c r="T229" s="1"/>
      <c r="U229" s="1"/>
      <c r="V229" s="43"/>
    </row>
    <row r="230" ht="15.75" customHeight="1">
      <c r="A230" s="1"/>
      <c r="B230" s="1"/>
      <c r="C230" s="46"/>
      <c r="D230" s="1"/>
      <c r="E230" s="1"/>
      <c r="F230" s="1"/>
      <c r="G230" s="46"/>
      <c r="H230" s="1"/>
      <c r="I230" s="1"/>
      <c r="J230" s="46"/>
      <c r="K230" s="46"/>
      <c r="L230" s="46"/>
      <c r="M230" s="1"/>
      <c r="N230" s="47"/>
      <c r="O230" s="46"/>
      <c r="P230" s="1"/>
      <c r="Q230" s="1"/>
      <c r="R230" s="46"/>
      <c r="S230" s="1"/>
      <c r="T230" s="1"/>
      <c r="U230" s="1"/>
      <c r="V230" s="43"/>
    </row>
    <row r="231" ht="15.75" customHeight="1">
      <c r="A231" s="1"/>
      <c r="B231" s="1"/>
      <c r="C231" s="46"/>
      <c r="D231" s="1"/>
      <c r="E231" s="1"/>
      <c r="F231" s="1"/>
      <c r="G231" s="46"/>
      <c r="H231" s="1"/>
      <c r="I231" s="1"/>
      <c r="J231" s="46"/>
      <c r="K231" s="46"/>
      <c r="L231" s="46"/>
      <c r="M231" s="1"/>
      <c r="N231" s="47"/>
      <c r="O231" s="46"/>
      <c r="P231" s="1"/>
      <c r="Q231" s="1"/>
      <c r="R231" s="46"/>
      <c r="S231" s="1"/>
      <c r="T231" s="1"/>
      <c r="U231" s="1"/>
      <c r="V231" s="43"/>
    </row>
    <row r="232" ht="15.75" customHeight="1">
      <c r="A232" s="1"/>
      <c r="B232" s="1"/>
      <c r="C232" s="46"/>
      <c r="D232" s="1"/>
      <c r="E232" s="1"/>
      <c r="F232" s="1"/>
      <c r="G232" s="46"/>
      <c r="H232" s="1"/>
      <c r="I232" s="1"/>
      <c r="J232" s="46"/>
      <c r="K232" s="46"/>
      <c r="L232" s="46"/>
      <c r="M232" s="1"/>
      <c r="N232" s="47"/>
      <c r="O232" s="46"/>
      <c r="P232" s="1"/>
      <c r="Q232" s="1"/>
      <c r="R232" s="46"/>
      <c r="S232" s="1"/>
      <c r="T232" s="1"/>
      <c r="U232" s="1"/>
      <c r="V232" s="43"/>
    </row>
    <row r="233" ht="15.75" customHeight="1">
      <c r="A233" s="1"/>
      <c r="B233" s="1"/>
      <c r="C233" s="46"/>
      <c r="D233" s="1"/>
      <c r="E233" s="1"/>
      <c r="F233" s="1"/>
      <c r="G233" s="46"/>
      <c r="H233" s="1"/>
      <c r="I233" s="1"/>
      <c r="J233" s="46"/>
      <c r="K233" s="46"/>
      <c r="L233" s="46"/>
      <c r="M233" s="1"/>
      <c r="N233" s="47"/>
      <c r="O233" s="46"/>
      <c r="P233" s="1"/>
      <c r="Q233" s="1"/>
      <c r="R233" s="46"/>
      <c r="S233" s="1"/>
      <c r="T233" s="1"/>
      <c r="U233" s="1"/>
      <c r="V233" s="43"/>
    </row>
    <row r="234" ht="15.75" customHeight="1">
      <c r="A234" s="1"/>
      <c r="B234" s="1"/>
      <c r="C234" s="46"/>
      <c r="D234" s="1"/>
      <c r="E234" s="1"/>
      <c r="F234" s="1"/>
      <c r="G234" s="46"/>
      <c r="H234" s="1"/>
      <c r="I234" s="1"/>
      <c r="J234" s="46"/>
      <c r="K234" s="46"/>
      <c r="L234" s="46"/>
      <c r="M234" s="1"/>
      <c r="N234" s="47"/>
      <c r="O234" s="46"/>
      <c r="P234" s="1"/>
      <c r="Q234" s="1"/>
      <c r="R234" s="46"/>
      <c r="S234" s="1"/>
      <c r="T234" s="1"/>
      <c r="U234" s="1"/>
      <c r="V234" s="43"/>
    </row>
    <row r="235" ht="15.75" customHeight="1">
      <c r="A235" s="1"/>
      <c r="B235" s="1"/>
      <c r="C235" s="46"/>
      <c r="D235" s="1"/>
      <c r="E235" s="1"/>
      <c r="F235" s="1"/>
      <c r="G235" s="46"/>
      <c r="H235" s="1"/>
      <c r="I235" s="1"/>
      <c r="J235" s="46"/>
      <c r="K235" s="46"/>
      <c r="L235" s="46"/>
      <c r="M235" s="1"/>
      <c r="N235" s="47"/>
      <c r="O235" s="46"/>
      <c r="P235" s="1"/>
      <c r="Q235" s="1"/>
      <c r="R235" s="46"/>
      <c r="S235" s="1"/>
      <c r="T235" s="1"/>
      <c r="U235" s="1"/>
      <c r="V235" s="43"/>
    </row>
    <row r="236" ht="15.75" customHeight="1">
      <c r="A236" s="1"/>
      <c r="B236" s="1"/>
      <c r="C236" s="46"/>
      <c r="D236" s="1"/>
      <c r="E236" s="1"/>
      <c r="F236" s="1"/>
      <c r="G236" s="46"/>
      <c r="H236" s="1"/>
      <c r="I236" s="1"/>
      <c r="J236" s="46"/>
      <c r="K236" s="46"/>
      <c r="L236" s="46"/>
      <c r="M236" s="1"/>
      <c r="N236" s="47"/>
      <c r="O236" s="46"/>
      <c r="P236" s="1"/>
      <c r="Q236" s="1"/>
      <c r="R236" s="46"/>
      <c r="S236" s="1"/>
      <c r="T236" s="1"/>
      <c r="U236" s="1"/>
      <c r="V236" s="43"/>
    </row>
    <row r="237" ht="15.75" customHeight="1">
      <c r="A237" s="1"/>
      <c r="B237" s="1"/>
      <c r="C237" s="46"/>
      <c r="D237" s="1"/>
      <c r="E237" s="1"/>
      <c r="F237" s="1"/>
      <c r="G237" s="46"/>
      <c r="H237" s="1"/>
      <c r="I237" s="1"/>
      <c r="J237" s="46"/>
      <c r="K237" s="46"/>
      <c r="L237" s="46"/>
      <c r="M237" s="1"/>
      <c r="N237" s="47"/>
      <c r="O237" s="46"/>
      <c r="P237" s="1"/>
      <c r="Q237" s="1"/>
      <c r="R237" s="46"/>
      <c r="S237" s="1"/>
      <c r="T237" s="1"/>
      <c r="U237" s="1"/>
      <c r="V237" s="43"/>
    </row>
    <row r="238" ht="15.75" customHeight="1">
      <c r="A238" s="1"/>
      <c r="B238" s="1"/>
      <c r="C238" s="46"/>
      <c r="D238" s="1"/>
      <c r="E238" s="1"/>
      <c r="F238" s="1"/>
      <c r="G238" s="46"/>
      <c r="H238" s="1"/>
      <c r="I238" s="1"/>
      <c r="J238" s="46"/>
      <c r="K238" s="46"/>
      <c r="L238" s="46"/>
      <c r="M238" s="1"/>
      <c r="N238" s="47"/>
      <c r="O238" s="46"/>
      <c r="P238" s="1"/>
      <c r="Q238" s="1"/>
      <c r="R238" s="46"/>
      <c r="S238" s="1"/>
      <c r="T238" s="1"/>
      <c r="U238" s="1"/>
      <c r="V238" s="43"/>
    </row>
    <row r="239" ht="15.75" customHeight="1">
      <c r="A239" s="1"/>
      <c r="B239" s="1"/>
      <c r="C239" s="46"/>
      <c r="D239" s="1"/>
      <c r="E239" s="1"/>
      <c r="F239" s="1"/>
      <c r="G239" s="46"/>
      <c r="H239" s="1"/>
      <c r="I239" s="1"/>
      <c r="J239" s="46"/>
      <c r="K239" s="46"/>
      <c r="L239" s="46"/>
      <c r="M239" s="1"/>
      <c r="N239" s="47"/>
      <c r="O239" s="46"/>
      <c r="P239" s="1"/>
      <c r="Q239" s="1"/>
      <c r="R239" s="46"/>
      <c r="S239" s="1"/>
      <c r="T239" s="1"/>
      <c r="U239" s="1"/>
      <c r="V239" s="43"/>
    </row>
    <row r="240" ht="15.75" customHeight="1">
      <c r="A240" s="1"/>
      <c r="B240" s="1"/>
      <c r="C240" s="46"/>
      <c r="D240" s="1"/>
      <c r="E240" s="1"/>
      <c r="F240" s="1"/>
      <c r="G240" s="46"/>
      <c r="H240" s="1"/>
      <c r="I240" s="1"/>
      <c r="J240" s="46"/>
      <c r="K240" s="46"/>
      <c r="L240" s="46"/>
      <c r="M240" s="1"/>
      <c r="N240" s="47"/>
      <c r="O240" s="46"/>
      <c r="P240" s="1"/>
      <c r="Q240" s="1"/>
      <c r="R240" s="46"/>
      <c r="S240" s="1"/>
      <c r="T240" s="1"/>
      <c r="U240" s="1"/>
      <c r="V240" s="43"/>
    </row>
    <row r="241" ht="15.75" customHeight="1">
      <c r="A241" s="1"/>
      <c r="B241" s="1"/>
      <c r="C241" s="46"/>
      <c r="D241" s="1"/>
      <c r="E241" s="1"/>
      <c r="F241" s="1"/>
      <c r="G241" s="46"/>
      <c r="H241" s="1"/>
      <c r="I241" s="1"/>
      <c r="J241" s="46"/>
      <c r="K241" s="46"/>
      <c r="L241" s="46"/>
      <c r="M241" s="1"/>
      <c r="N241" s="47"/>
      <c r="O241" s="46"/>
      <c r="P241" s="1"/>
      <c r="Q241" s="1"/>
      <c r="R241" s="46"/>
      <c r="S241" s="1"/>
      <c r="T241" s="1"/>
      <c r="U241" s="1"/>
      <c r="V241" s="43"/>
    </row>
    <row r="242" ht="15.75" customHeight="1">
      <c r="A242" s="1"/>
      <c r="B242" s="1"/>
      <c r="C242" s="46"/>
      <c r="D242" s="1"/>
      <c r="E242" s="1"/>
      <c r="F242" s="1"/>
      <c r="G242" s="46"/>
      <c r="H242" s="1"/>
      <c r="I242" s="1"/>
      <c r="J242" s="46"/>
      <c r="K242" s="46"/>
      <c r="L242" s="46"/>
      <c r="M242" s="1"/>
      <c r="N242" s="47"/>
      <c r="O242" s="46"/>
      <c r="P242" s="1"/>
      <c r="Q242" s="1"/>
      <c r="R242" s="46"/>
      <c r="S242" s="1"/>
      <c r="T242" s="1"/>
      <c r="U242" s="1"/>
      <c r="V242" s="43"/>
    </row>
    <row r="243" ht="15.75" customHeight="1">
      <c r="A243" s="1"/>
      <c r="B243" s="1"/>
      <c r="C243" s="46"/>
      <c r="D243" s="1"/>
      <c r="E243" s="1"/>
      <c r="F243" s="1"/>
      <c r="G243" s="46"/>
      <c r="H243" s="1"/>
      <c r="I243" s="1"/>
      <c r="J243" s="46"/>
      <c r="K243" s="46"/>
      <c r="L243" s="46"/>
      <c r="M243" s="1"/>
      <c r="N243" s="47"/>
      <c r="O243" s="46"/>
      <c r="P243" s="1"/>
      <c r="Q243" s="1"/>
      <c r="R243" s="46"/>
      <c r="S243" s="1"/>
      <c r="T243" s="1"/>
      <c r="U243" s="1"/>
      <c r="V243" s="43"/>
    </row>
    <row r="244" ht="15.75" customHeight="1">
      <c r="A244" s="1"/>
      <c r="B244" s="1"/>
      <c r="C244" s="46"/>
      <c r="D244" s="1"/>
      <c r="E244" s="1"/>
      <c r="F244" s="1"/>
      <c r="G244" s="46"/>
      <c r="H244" s="1"/>
      <c r="I244" s="1"/>
      <c r="J244" s="46"/>
      <c r="K244" s="46"/>
      <c r="L244" s="46"/>
      <c r="M244" s="1"/>
      <c r="N244" s="47"/>
      <c r="O244" s="46"/>
      <c r="P244" s="1"/>
      <c r="Q244" s="1"/>
      <c r="R244" s="46"/>
      <c r="S244" s="1"/>
      <c r="T244" s="1"/>
      <c r="U244" s="1"/>
      <c r="V244" s="43"/>
    </row>
    <row r="245" ht="15.75" customHeight="1">
      <c r="A245" s="1"/>
      <c r="B245" s="1"/>
      <c r="C245" s="46"/>
      <c r="D245" s="1"/>
      <c r="E245" s="1"/>
      <c r="F245" s="1"/>
      <c r="G245" s="46"/>
      <c r="H245" s="1"/>
      <c r="I245" s="1"/>
      <c r="J245" s="46"/>
      <c r="K245" s="46"/>
      <c r="L245" s="46"/>
      <c r="M245" s="1"/>
      <c r="N245" s="47"/>
      <c r="O245" s="46"/>
      <c r="P245" s="1"/>
      <c r="Q245" s="1"/>
      <c r="R245" s="46"/>
      <c r="S245" s="1"/>
      <c r="T245" s="1"/>
      <c r="U245" s="1"/>
      <c r="V245" s="43"/>
    </row>
    <row r="246" ht="15.75" customHeight="1">
      <c r="A246" s="1"/>
      <c r="B246" s="1"/>
      <c r="C246" s="46"/>
      <c r="D246" s="1"/>
      <c r="E246" s="1"/>
      <c r="F246" s="1"/>
      <c r="G246" s="46"/>
      <c r="H246" s="1"/>
      <c r="I246" s="1"/>
      <c r="J246" s="46"/>
      <c r="K246" s="46"/>
      <c r="L246" s="46"/>
      <c r="M246" s="1"/>
      <c r="N246" s="47"/>
      <c r="O246" s="46"/>
      <c r="P246" s="1"/>
      <c r="Q246" s="1"/>
      <c r="R246" s="46"/>
      <c r="S246" s="1"/>
      <c r="T246" s="1"/>
      <c r="U246" s="1"/>
      <c r="V246" s="43"/>
    </row>
    <row r="247" ht="15.75" customHeight="1">
      <c r="A247" s="1"/>
      <c r="B247" s="1"/>
      <c r="C247" s="46"/>
      <c r="D247" s="1"/>
      <c r="E247" s="1"/>
      <c r="F247" s="1"/>
      <c r="G247" s="46"/>
      <c r="H247" s="1"/>
      <c r="I247" s="1"/>
      <c r="J247" s="46"/>
      <c r="K247" s="46"/>
      <c r="L247" s="46"/>
      <c r="M247" s="1"/>
      <c r="N247" s="47"/>
      <c r="O247" s="46"/>
      <c r="P247" s="1"/>
      <c r="Q247" s="1"/>
      <c r="R247" s="46"/>
      <c r="S247" s="1"/>
      <c r="T247" s="1"/>
      <c r="U247" s="1"/>
      <c r="V247" s="43"/>
    </row>
    <row r="248" ht="15.75" customHeight="1">
      <c r="A248" s="1"/>
      <c r="B248" s="1"/>
      <c r="C248" s="46"/>
      <c r="D248" s="1"/>
      <c r="E248" s="1"/>
      <c r="F248" s="1"/>
      <c r="G248" s="46"/>
      <c r="H248" s="1"/>
      <c r="I248" s="1"/>
      <c r="J248" s="46"/>
      <c r="K248" s="46"/>
      <c r="L248" s="46"/>
      <c r="M248" s="1"/>
      <c r="N248" s="47"/>
      <c r="O248" s="46"/>
      <c r="P248" s="1"/>
      <c r="Q248" s="1"/>
      <c r="R248" s="46"/>
      <c r="S248" s="1"/>
      <c r="T248" s="1"/>
      <c r="U248" s="1"/>
      <c r="V248" s="43"/>
    </row>
    <row r="249" ht="15.75" customHeight="1">
      <c r="A249" s="1"/>
      <c r="B249" s="1"/>
      <c r="C249" s="46"/>
      <c r="D249" s="1"/>
      <c r="E249" s="1"/>
      <c r="F249" s="1"/>
      <c r="G249" s="46"/>
      <c r="H249" s="1"/>
      <c r="I249" s="1"/>
      <c r="J249" s="46"/>
      <c r="K249" s="46"/>
      <c r="L249" s="46"/>
      <c r="M249" s="1"/>
      <c r="N249" s="47"/>
      <c r="O249" s="46"/>
      <c r="P249" s="1"/>
      <c r="Q249" s="1"/>
      <c r="R249" s="46"/>
      <c r="S249" s="1"/>
      <c r="T249" s="1"/>
      <c r="U249" s="1"/>
      <c r="V249" s="43"/>
    </row>
    <row r="250" ht="15.75" customHeight="1">
      <c r="A250" s="1"/>
      <c r="B250" s="1"/>
      <c r="C250" s="46"/>
      <c r="D250" s="1"/>
      <c r="E250" s="1"/>
      <c r="F250" s="1"/>
      <c r="G250" s="46"/>
      <c r="H250" s="1"/>
      <c r="I250" s="1"/>
      <c r="J250" s="46"/>
      <c r="K250" s="46"/>
      <c r="L250" s="46"/>
      <c r="M250" s="1"/>
      <c r="N250" s="47"/>
      <c r="O250" s="46"/>
      <c r="P250" s="1"/>
      <c r="Q250" s="1"/>
      <c r="R250" s="46"/>
      <c r="S250" s="1"/>
      <c r="T250" s="1"/>
      <c r="U250" s="1"/>
      <c r="V250" s="43"/>
    </row>
    <row r="251" ht="15.75" customHeight="1">
      <c r="A251" s="1"/>
      <c r="B251" s="1"/>
      <c r="C251" s="46"/>
      <c r="D251" s="1"/>
      <c r="E251" s="1"/>
      <c r="F251" s="1"/>
      <c r="G251" s="46"/>
      <c r="H251" s="1"/>
      <c r="I251" s="1"/>
      <c r="J251" s="46"/>
      <c r="K251" s="46"/>
      <c r="L251" s="46"/>
      <c r="M251" s="1"/>
      <c r="N251" s="47"/>
      <c r="O251" s="46"/>
      <c r="P251" s="1"/>
      <c r="Q251" s="1"/>
      <c r="R251" s="46"/>
      <c r="S251" s="1"/>
      <c r="T251" s="1"/>
      <c r="U251" s="1"/>
      <c r="V251" s="43"/>
    </row>
    <row r="252" ht="15.75" customHeight="1">
      <c r="A252" s="1"/>
      <c r="B252" s="1"/>
      <c r="C252" s="46"/>
      <c r="D252" s="1"/>
      <c r="E252" s="1"/>
      <c r="F252" s="1"/>
      <c r="G252" s="46"/>
      <c r="H252" s="1"/>
      <c r="I252" s="1"/>
      <c r="J252" s="46"/>
      <c r="K252" s="46"/>
      <c r="L252" s="46"/>
      <c r="M252" s="1"/>
      <c r="N252" s="47"/>
      <c r="O252" s="46"/>
      <c r="P252" s="1"/>
      <c r="Q252" s="1"/>
      <c r="R252" s="46"/>
      <c r="S252" s="1"/>
      <c r="T252" s="1"/>
      <c r="U252" s="1"/>
      <c r="V252" s="43"/>
    </row>
    <row r="253" ht="15.75" customHeight="1">
      <c r="A253" s="1"/>
      <c r="B253" s="1"/>
      <c r="C253" s="46"/>
      <c r="D253" s="1"/>
      <c r="E253" s="1"/>
      <c r="F253" s="1"/>
      <c r="G253" s="46"/>
      <c r="H253" s="1"/>
      <c r="I253" s="1"/>
      <c r="J253" s="46"/>
      <c r="K253" s="46"/>
      <c r="L253" s="46"/>
      <c r="M253" s="1"/>
      <c r="N253" s="47"/>
      <c r="O253" s="46"/>
      <c r="P253" s="1"/>
      <c r="Q253" s="1"/>
      <c r="R253" s="46"/>
      <c r="S253" s="1"/>
      <c r="T253" s="1"/>
      <c r="U253" s="1"/>
      <c r="V253" s="43"/>
    </row>
    <row r="254" ht="15.75" customHeight="1">
      <c r="A254" s="1"/>
      <c r="B254" s="1"/>
      <c r="C254" s="46"/>
      <c r="D254" s="1"/>
      <c r="E254" s="1"/>
      <c r="F254" s="1"/>
      <c r="G254" s="46"/>
      <c r="H254" s="1"/>
      <c r="I254" s="1"/>
      <c r="J254" s="46"/>
      <c r="K254" s="46"/>
      <c r="L254" s="46"/>
      <c r="M254" s="1"/>
      <c r="N254" s="47"/>
      <c r="O254" s="46"/>
      <c r="P254" s="1"/>
      <c r="Q254" s="1"/>
      <c r="R254" s="46"/>
      <c r="S254" s="1"/>
      <c r="T254" s="1"/>
      <c r="U254" s="1"/>
      <c r="V254" s="43"/>
    </row>
    <row r="255" ht="15.75" customHeight="1">
      <c r="A255" s="1"/>
      <c r="B255" s="1"/>
      <c r="C255" s="46"/>
      <c r="D255" s="1"/>
      <c r="E255" s="1"/>
      <c r="F255" s="1"/>
      <c r="G255" s="46"/>
      <c r="H255" s="1"/>
      <c r="I255" s="1"/>
      <c r="J255" s="46"/>
      <c r="K255" s="46"/>
      <c r="L255" s="46"/>
      <c r="M255" s="1"/>
      <c r="N255" s="47"/>
      <c r="O255" s="46"/>
      <c r="P255" s="1"/>
      <c r="Q255" s="1"/>
      <c r="R255" s="46"/>
      <c r="S255" s="1"/>
      <c r="T255" s="1"/>
      <c r="U255" s="1"/>
      <c r="V255" s="43"/>
    </row>
    <row r="256" ht="15.75" customHeight="1">
      <c r="A256" s="1"/>
      <c r="B256" s="1"/>
      <c r="C256" s="46"/>
      <c r="D256" s="1"/>
      <c r="E256" s="1"/>
      <c r="F256" s="1"/>
      <c r="G256" s="46"/>
      <c r="H256" s="1"/>
      <c r="I256" s="1"/>
      <c r="J256" s="46"/>
      <c r="K256" s="46"/>
      <c r="L256" s="46"/>
      <c r="M256" s="1"/>
      <c r="N256" s="47"/>
      <c r="O256" s="46"/>
      <c r="P256" s="1"/>
      <c r="Q256" s="1"/>
      <c r="R256" s="46"/>
      <c r="S256" s="1"/>
      <c r="T256" s="1"/>
      <c r="U256" s="1"/>
      <c r="V256" s="43"/>
    </row>
    <row r="257" ht="15.75" customHeight="1">
      <c r="A257" s="1"/>
      <c r="B257" s="1"/>
      <c r="C257" s="46"/>
      <c r="D257" s="1"/>
      <c r="E257" s="1"/>
      <c r="F257" s="1"/>
      <c r="G257" s="46"/>
      <c r="H257" s="1"/>
      <c r="I257" s="1"/>
      <c r="J257" s="46"/>
      <c r="K257" s="46"/>
      <c r="L257" s="46"/>
      <c r="M257" s="1"/>
      <c r="N257" s="47"/>
      <c r="O257" s="46"/>
      <c r="P257" s="1"/>
      <c r="Q257" s="1"/>
      <c r="R257" s="46"/>
      <c r="S257" s="1"/>
      <c r="T257" s="1"/>
      <c r="U257" s="1"/>
      <c r="V257" s="43"/>
    </row>
    <row r="258" ht="15.75" customHeight="1">
      <c r="A258" s="1"/>
      <c r="B258" s="1"/>
      <c r="C258" s="46"/>
      <c r="D258" s="1"/>
      <c r="E258" s="1"/>
      <c r="F258" s="1"/>
      <c r="G258" s="46"/>
      <c r="H258" s="1"/>
      <c r="I258" s="1"/>
      <c r="J258" s="46"/>
      <c r="K258" s="46"/>
      <c r="L258" s="46"/>
      <c r="M258" s="1"/>
      <c r="N258" s="47"/>
      <c r="O258" s="46"/>
      <c r="P258" s="1"/>
      <c r="Q258" s="1"/>
      <c r="R258" s="46"/>
      <c r="S258" s="1"/>
      <c r="T258" s="1"/>
      <c r="U258" s="1"/>
      <c r="V258" s="43"/>
    </row>
    <row r="259" ht="15.75" customHeight="1">
      <c r="A259" s="1"/>
      <c r="B259" s="1"/>
      <c r="C259" s="46"/>
      <c r="D259" s="1"/>
      <c r="E259" s="1"/>
      <c r="F259" s="1"/>
      <c r="G259" s="46"/>
      <c r="H259" s="1"/>
      <c r="I259" s="1"/>
      <c r="J259" s="46"/>
      <c r="K259" s="46"/>
      <c r="L259" s="46"/>
      <c r="M259" s="1"/>
      <c r="N259" s="47"/>
      <c r="O259" s="46"/>
      <c r="P259" s="1"/>
      <c r="Q259" s="1"/>
      <c r="R259" s="46"/>
      <c r="S259" s="1"/>
      <c r="T259" s="1"/>
      <c r="U259" s="1"/>
      <c r="V259" s="43"/>
    </row>
    <row r="260" ht="15.75" customHeight="1">
      <c r="A260" s="1"/>
      <c r="B260" s="1"/>
      <c r="C260" s="46"/>
      <c r="D260" s="1"/>
      <c r="E260" s="1"/>
      <c r="F260" s="1"/>
      <c r="G260" s="46"/>
      <c r="H260" s="1"/>
      <c r="I260" s="1"/>
      <c r="J260" s="46"/>
      <c r="K260" s="46"/>
      <c r="L260" s="46"/>
      <c r="M260" s="1"/>
      <c r="N260" s="47"/>
      <c r="O260" s="46"/>
      <c r="P260" s="1"/>
      <c r="Q260" s="1"/>
      <c r="R260" s="46"/>
      <c r="S260" s="1"/>
      <c r="T260" s="1"/>
      <c r="U260" s="1"/>
      <c r="V260" s="43"/>
    </row>
    <row r="261" ht="15.75" customHeight="1">
      <c r="A261" s="1"/>
      <c r="B261" s="1"/>
      <c r="C261" s="46"/>
      <c r="D261" s="1"/>
      <c r="E261" s="1"/>
      <c r="F261" s="1"/>
      <c r="G261" s="46"/>
      <c r="H261" s="1"/>
      <c r="I261" s="1"/>
      <c r="J261" s="46"/>
      <c r="K261" s="46"/>
      <c r="L261" s="46"/>
      <c r="M261" s="1"/>
      <c r="N261" s="47"/>
      <c r="O261" s="46"/>
      <c r="P261" s="1"/>
      <c r="Q261" s="1"/>
      <c r="R261" s="46"/>
      <c r="S261" s="1"/>
      <c r="T261" s="1"/>
      <c r="U261" s="1"/>
      <c r="V261" s="43"/>
    </row>
    <row r="262" ht="15.75" customHeight="1">
      <c r="A262" s="1"/>
      <c r="B262" s="1"/>
      <c r="C262" s="46"/>
      <c r="D262" s="1"/>
      <c r="E262" s="1"/>
      <c r="F262" s="1"/>
      <c r="G262" s="46"/>
      <c r="H262" s="1"/>
      <c r="I262" s="1"/>
      <c r="J262" s="46"/>
      <c r="K262" s="46"/>
      <c r="L262" s="46"/>
      <c r="M262" s="1"/>
      <c r="N262" s="47"/>
      <c r="O262" s="46"/>
      <c r="P262" s="1"/>
      <c r="Q262" s="1"/>
      <c r="R262" s="46"/>
      <c r="S262" s="1"/>
      <c r="T262" s="1"/>
      <c r="U262" s="1"/>
      <c r="V262" s="43"/>
    </row>
    <row r="263" ht="15.75" customHeight="1">
      <c r="A263" s="1"/>
      <c r="B263" s="1"/>
      <c r="C263" s="46"/>
      <c r="D263" s="1"/>
      <c r="E263" s="1"/>
      <c r="F263" s="1"/>
      <c r="G263" s="46"/>
      <c r="H263" s="1"/>
      <c r="I263" s="1"/>
      <c r="J263" s="46"/>
      <c r="K263" s="46"/>
      <c r="L263" s="46"/>
      <c r="M263" s="1"/>
      <c r="N263" s="47"/>
      <c r="O263" s="46"/>
      <c r="P263" s="1"/>
      <c r="Q263" s="1"/>
      <c r="R263" s="46"/>
      <c r="S263" s="1"/>
      <c r="T263" s="1"/>
      <c r="U263" s="1"/>
      <c r="V263" s="43"/>
    </row>
    <row r="264" ht="15.75" customHeight="1">
      <c r="A264" s="1"/>
      <c r="B264" s="1"/>
      <c r="C264" s="46"/>
      <c r="D264" s="1"/>
      <c r="E264" s="1"/>
      <c r="F264" s="1"/>
      <c r="G264" s="46"/>
      <c r="H264" s="1"/>
      <c r="I264" s="1"/>
      <c r="J264" s="46"/>
      <c r="K264" s="46"/>
      <c r="L264" s="46"/>
      <c r="M264" s="1"/>
      <c r="N264" s="47"/>
      <c r="O264" s="46"/>
      <c r="P264" s="1"/>
      <c r="Q264" s="1"/>
      <c r="R264" s="46"/>
      <c r="S264" s="1"/>
      <c r="T264" s="1"/>
      <c r="U264" s="1"/>
      <c r="V264" s="43"/>
    </row>
    <row r="265" ht="15.75" customHeight="1">
      <c r="A265" s="1"/>
      <c r="B265" s="1"/>
      <c r="C265" s="46"/>
      <c r="D265" s="1"/>
      <c r="E265" s="1"/>
      <c r="F265" s="1"/>
      <c r="G265" s="46"/>
      <c r="H265" s="1"/>
      <c r="I265" s="1"/>
      <c r="J265" s="46"/>
      <c r="K265" s="46"/>
      <c r="L265" s="46"/>
      <c r="M265" s="1"/>
      <c r="N265" s="47"/>
      <c r="O265" s="46"/>
      <c r="P265" s="1"/>
      <c r="Q265" s="1"/>
      <c r="R265" s="46"/>
      <c r="S265" s="1"/>
      <c r="T265" s="1"/>
      <c r="U265" s="1"/>
      <c r="V265" s="43"/>
    </row>
    <row r="266" ht="15.75" customHeight="1">
      <c r="A266" s="1"/>
      <c r="B266" s="1"/>
      <c r="C266" s="46"/>
      <c r="D266" s="1"/>
      <c r="E266" s="1"/>
      <c r="F266" s="1"/>
      <c r="G266" s="46"/>
      <c r="H266" s="1"/>
      <c r="I266" s="1"/>
      <c r="J266" s="46"/>
      <c r="K266" s="46"/>
      <c r="L266" s="46"/>
      <c r="M266" s="1"/>
      <c r="N266" s="47"/>
      <c r="O266" s="46"/>
      <c r="P266" s="1"/>
      <c r="Q266" s="1"/>
      <c r="R266" s="46"/>
      <c r="S266" s="1"/>
      <c r="T266" s="1"/>
      <c r="U266" s="1"/>
      <c r="V266" s="43"/>
    </row>
    <row r="267" ht="15.75" customHeight="1">
      <c r="A267" s="1"/>
      <c r="B267" s="1"/>
      <c r="C267" s="46"/>
      <c r="D267" s="1"/>
      <c r="E267" s="1"/>
      <c r="F267" s="1"/>
      <c r="G267" s="46"/>
      <c r="H267" s="1"/>
      <c r="I267" s="1"/>
      <c r="J267" s="46"/>
      <c r="K267" s="46"/>
      <c r="L267" s="46"/>
      <c r="M267" s="1"/>
      <c r="N267" s="47"/>
      <c r="O267" s="46"/>
      <c r="P267" s="1"/>
      <c r="Q267" s="1"/>
      <c r="R267" s="46"/>
      <c r="S267" s="1"/>
      <c r="T267" s="1"/>
      <c r="U267" s="1"/>
      <c r="V267" s="43"/>
    </row>
    <row r="268" ht="15.75" customHeight="1">
      <c r="A268" s="1"/>
      <c r="B268" s="1"/>
      <c r="C268" s="46"/>
      <c r="D268" s="1"/>
      <c r="E268" s="1"/>
      <c r="F268" s="1"/>
      <c r="G268" s="46"/>
      <c r="H268" s="1"/>
      <c r="I268" s="1"/>
      <c r="J268" s="46"/>
      <c r="K268" s="46"/>
      <c r="L268" s="46"/>
      <c r="M268" s="1"/>
      <c r="N268" s="47"/>
      <c r="O268" s="46"/>
      <c r="P268" s="1"/>
      <c r="Q268" s="1"/>
      <c r="R268" s="46"/>
      <c r="S268" s="1"/>
      <c r="T268" s="1"/>
      <c r="U268" s="1"/>
      <c r="V268" s="43"/>
    </row>
    <row r="269" ht="15.75" customHeight="1">
      <c r="A269" s="1"/>
      <c r="B269" s="1"/>
      <c r="C269" s="46"/>
      <c r="D269" s="1"/>
      <c r="E269" s="1"/>
      <c r="F269" s="1"/>
      <c r="G269" s="46"/>
      <c r="H269" s="1"/>
      <c r="I269" s="1"/>
      <c r="J269" s="46"/>
      <c r="K269" s="46"/>
      <c r="L269" s="46"/>
      <c r="M269" s="1"/>
      <c r="N269" s="47"/>
      <c r="O269" s="46"/>
      <c r="P269" s="1"/>
      <c r="Q269" s="1"/>
      <c r="R269" s="46"/>
      <c r="S269" s="1"/>
      <c r="T269" s="1"/>
      <c r="U269" s="1"/>
      <c r="V269" s="43"/>
    </row>
    <row r="270" ht="15.75" customHeight="1">
      <c r="A270" s="1"/>
      <c r="B270" s="1"/>
      <c r="C270" s="46"/>
      <c r="D270" s="1"/>
      <c r="E270" s="1"/>
      <c r="F270" s="1"/>
      <c r="G270" s="46"/>
      <c r="H270" s="1"/>
      <c r="I270" s="1"/>
      <c r="J270" s="46"/>
      <c r="K270" s="46"/>
      <c r="L270" s="46"/>
      <c r="M270" s="1"/>
      <c r="N270" s="47"/>
      <c r="O270" s="46"/>
      <c r="P270" s="1"/>
      <c r="Q270" s="1"/>
      <c r="R270" s="46"/>
      <c r="S270" s="1"/>
      <c r="T270" s="1"/>
      <c r="U270" s="1"/>
      <c r="V270" s="43"/>
    </row>
    <row r="271" ht="15.75" customHeight="1">
      <c r="A271" s="1"/>
      <c r="B271" s="1"/>
      <c r="C271" s="46"/>
      <c r="D271" s="1"/>
      <c r="E271" s="1"/>
      <c r="F271" s="1"/>
      <c r="G271" s="46"/>
      <c r="H271" s="1"/>
      <c r="I271" s="1"/>
      <c r="J271" s="46"/>
      <c r="K271" s="46"/>
      <c r="L271" s="46"/>
      <c r="M271" s="1"/>
      <c r="N271" s="47"/>
      <c r="O271" s="46"/>
      <c r="P271" s="1"/>
      <c r="Q271" s="1"/>
      <c r="R271" s="46"/>
      <c r="S271" s="1"/>
      <c r="T271" s="1"/>
      <c r="U271" s="1"/>
      <c r="V271" s="43"/>
    </row>
    <row r="272" ht="15.75" customHeight="1">
      <c r="A272" s="1"/>
      <c r="B272" s="1"/>
      <c r="C272" s="46"/>
      <c r="D272" s="1"/>
      <c r="E272" s="1"/>
      <c r="F272" s="1"/>
      <c r="G272" s="46"/>
      <c r="H272" s="1"/>
      <c r="I272" s="1"/>
      <c r="J272" s="46"/>
      <c r="K272" s="46"/>
      <c r="L272" s="46"/>
      <c r="M272" s="1"/>
      <c r="N272" s="47"/>
      <c r="O272" s="46"/>
      <c r="P272" s="1"/>
      <c r="Q272" s="1"/>
      <c r="R272" s="46"/>
      <c r="S272" s="1"/>
      <c r="T272" s="1"/>
      <c r="U272" s="1"/>
      <c r="V272" s="43"/>
    </row>
    <row r="273" ht="15.75" customHeight="1">
      <c r="A273" s="1"/>
      <c r="B273" s="1"/>
      <c r="C273" s="46"/>
      <c r="D273" s="1"/>
      <c r="E273" s="1"/>
      <c r="F273" s="1"/>
      <c r="G273" s="46"/>
      <c r="H273" s="1"/>
      <c r="I273" s="1"/>
      <c r="J273" s="46"/>
      <c r="K273" s="46"/>
      <c r="L273" s="46"/>
      <c r="M273" s="1"/>
      <c r="N273" s="47"/>
      <c r="O273" s="46"/>
      <c r="P273" s="1"/>
      <c r="Q273" s="1"/>
      <c r="R273" s="46"/>
      <c r="S273" s="1"/>
      <c r="T273" s="1"/>
      <c r="U273" s="1"/>
      <c r="V273" s="43"/>
    </row>
    <row r="274" ht="15.75" customHeight="1">
      <c r="A274" s="1"/>
      <c r="B274" s="1"/>
      <c r="C274" s="46"/>
      <c r="D274" s="1"/>
      <c r="E274" s="1"/>
      <c r="F274" s="1"/>
      <c r="G274" s="46"/>
      <c r="H274" s="1"/>
      <c r="I274" s="1"/>
      <c r="J274" s="46"/>
      <c r="K274" s="46"/>
      <c r="L274" s="46"/>
      <c r="M274" s="1"/>
      <c r="N274" s="47"/>
      <c r="O274" s="46"/>
      <c r="P274" s="1"/>
      <c r="Q274" s="1"/>
      <c r="R274" s="46"/>
      <c r="S274" s="1"/>
      <c r="T274" s="1"/>
      <c r="U274" s="1"/>
      <c r="V274" s="43"/>
    </row>
    <row r="275" ht="15.75" customHeight="1">
      <c r="A275" s="1"/>
      <c r="B275" s="1"/>
      <c r="C275" s="46"/>
      <c r="D275" s="1"/>
      <c r="E275" s="1"/>
      <c r="F275" s="1"/>
      <c r="G275" s="46"/>
      <c r="H275" s="1"/>
      <c r="I275" s="1"/>
      <c r="J275" s="46"/>
      <c r="K275" s="46"/>
      <c r="L275" s="46"/>
      <c r="M275" s="1"/>
      <c r="N275" s="47"/>
      <c r="O275" s="46"/>
      <c r="P275" s="1"/>
      <c r="Q275" s="1"/>
      <c r="R275" s="46"/>
      <c r="S275" s="1"/>
      <c r="T275" s="1"/>
      <c r="U275" s="1"/>
      <c r="V275" s="43"/>
    </row>
    <row r="276" ht="15.75" customHeight="1">
      <c r="A276" s="1"/>
      <c r="B276" s="1"/>
      <c r="C276" s="46"/>
      <c r="D276" s="1"/>
      <c r="E276" s="1"/>
      <c r="F276" s="1"/>
      <c r="G276" s="46"/>
      <c r="H276" s="1"/>
      <c r="I276" s="1"/>
      <c r="J276" s="46"/>
      <c r="K276" s="46"/>
      <c r="L276" s="46"/>
      <c r="M276" s="1"/>
      <c r="N276" s="47"/>
      <c r="O276" s="46"/>
      <c r="P276" s="1"/>
      <c r="Q276" s="1"/>
      <c r="R276" s="46"/>
      <c r="S276" s="1"/>
      <c r="T276" s="1"/>
      <c r="U276" s="1"/>
      <c r="V276" s="43"/>
    </row>
    <row r="277" ht="15.75" customHeight="1">
      <c r="A277" s="1"/>
      <c r="B277" s="1"/>
      <c r="C277" s="46"/>
      <c r="D277" s="1"/>
      <c r="E277" s="1"/>
      <c r="F277" s="1"/>
      <c r="G277" s="46"/>
      <c r="H277" s="1"/>
      <c r="I277" s="1"/>
      <c r="J277" s="46"/>
      <c r="K277" s="46"/>
      <c r="L277" s="46"/>
      <c r="M277" s="1"/>
      <c r="N277" s="47"/>
      <c r="O277" s="46"/>
      <c r="P277" s="1"/>
      <c r="Q277" s="1"/>
      <c r="R277" s="46"/>
      <c r="S277" s="1"/>
      <c r="T277" s="1"/>
      <c r="U277" s="1"/>
      <c r="V277" s="43"/>
    </row>
    <row r="278" ht="15.75" customHeight="1">
      <c r="A278" s="1"/>
      <c r="B278" s="1"/>
      <c r="C278" s="46"/>
      <c r="D278" s="1"/>
      <c r="E278" s="1"/>
      <c r="F278" s="1"/>
      <c r="G278" s="46"/>
      <c r="H278" s="1"/>
      <c r="I278" s="1"/>
      <c r="J278" s="46"/>
      <c r="K278" s="46"/>
      <c r="L278" s="46"/>
      <c r="M278" s="1"/>
      <c r="N278" s="47"/>
      <c r="O278" s="46"/>
      <c r="P278" s="1"/>
      <c r="Q278" s="1"/>
      <c r="R278" s="46"/>
      <c r="S278" s="1"/>
      <c r="T278" s="1"/>
      <c r="U278" s="1"/>
      <c r="V278" s="43"/>
    </row>
    <row r="279" ht="15.75" customHeight="1">
      <c r="A279" s="1"/>
      <c r="B279" s="1"/>
      <c r="C279" s="46"/>
      <c r="D279" s="1"/>
      <c r="E279" s="1"/>
      <c r="F279" s="1"/>
      <c r="G279" s="46"/>
      <c r="H279" s="1"/>
      <c r="I279" s="1"/>
      <c r="J279" s="46"/>
      <c r="K279" s="46"/>
      <c r="L279" s="46"/>
      <c r="M279" s="1"/>
      <c r="N279" s="47"/>
      <c r="O279" s="46"/>
      <c r="P279" s="1"/>
      <c r="Q279" s="1"/>
      <c r="R279" s="46"/>
      <c r="S279" s="1"/>
      <c r="T279" s="1"/>
      <c r="U279" s="1"/>
      <c r="V279" s="43"/>
    </row>
    <row r="280" ht="15.75" customHeight="1">
      <c r="A280" s="1"/>
      <c r="B280" s="1"/>
      <c r="C280" s="46"/>
      <c r="D280" s="1"/>
      <c r="E280" s="1"/>
      <c r="F280" s="1"/>
      <c r="G280" s="46"/>
      <c r="H280" s="1"/>
      <c r="I280" s="1"/>
      <c r="J280" s="46"/>
      <c r="K280" s="46"/>
      <c r="L280" s="46"/>
      <c r="M280" s="1"/>
      <c r="N280" s="47"/>
      <c r="O280" s="46"/>
      <c r="P280" s="1"/>
      <c r="Q280" s="1"/>
      <c r="R280" s="46"/>
      <c r="S280" s="1"/>
      <c r="T280" s="1"/>
      <c r="U280" s="1"/>
      <c r="V280" s="43"/>
    </row>
    <row r="281" ht="15.75" customHeight="1">
      <c r="A281" s="1"/>
      <c r="B281" s="1"/>
      <c r="C281" s="46"/>
      <c r="D281" s="1"/>
      <c r="E281" s="1"/>
      <c r="F281" s="1"/>
      <c r="G281" s="46"/>
      <c r="H281" s="1"/>
      <c r="I281" s="1"/>
      <c r="J281" s="46"/>
      <c r="K281" s="46"/>
      <c r="L281" s="46"/>
      <c r="M281" s="1"/>
      <c r="N281" s="47"/>
      <c r="O281" s="46"/>
      <c r="P281" s="1"/>
      <c r="Q281" s="1"/>
      <c r="R281" s="46"/>
      <c r="S281" s="1"/>
      <c r="T281" s="1"/>
      <c r="U281" s="1"/>
      <c r="V281" s="43"/>
    </row>
    <row r="282" ht="15.75" customHeight="1">
      <c r="A282" s="1"/>
      <c r="B282" s="1"/>
      <c r="C282" s="46"/>
      <c r="D282" s="1"/>
      <c r="E282" s="1"/>
      <c r="F282" s="1"/>
      <c r="G282" s="46"/>
      <c r="H282" s="1"/>
      <c r="I282" s="1"/>
      <c r="J282" s="46"/>
      <c r="K282" s="46"/>
      <c r="L282" s="46"/>
      <c r="M282" s="1"/>
      <c r="N282" s="47"/>
      <c r="O282" s="46"/>
      <c r="P282" s="1"/>
      <c r="Q282" s="1"/>
      <c r="R282" s="46"/>
      <c r="S282" s="1"/>
      <c r="T282" s="1"/>
      <c r="U282" s="1"/>
      <c r="V282" s="43"/>
    </row>
    <row r="283" ht="15.75" customHeight="1">
      <c r="A283" s="1"/>
      <c r="B283" s="1"/>
      <c r="C283" s="46"/>
      <c r="D283" s="1"/>
      <c r="E283" s="1"/>
      <c r="F283" s="1"/>
      <c r="G283" s="46"/>
      <c r="H283" s="1"/>
      <c r="I283" s="1"/>
      <c r="J283" s="46"/>
      <c r="K283" s="46"/>
      <c r="L283" s="46"/>
      <c r="M283" s="1"/>
      <c r="N283" s="47"/>
      <c r="O283" s="46"/>
      <c r="P283" s="1"/>
      <c r="Q283" s="1"/>
      <c r="R283" s="46"/>
      <c r="S283" s="1"/>
      <c r="T283" s="1"/>
      <c r="U283" s="1"/>
      <c r="V283" s="43"/>
    </row>
    <row r="284" ht="15.75" customHeight="1">
      <c r="A284" s="1"/>
      <c r="B284" s="1"/>
      <c r="C284" s="46"/>
      <c r="D284" s="1"/>
      <c r="E284" s="1"/>
      <c r="F284" s="1"/>
      <c r="G284" s="46"/>
      <c r="H284" s="1"/>
      <c r="I284" s="1"/>
      <c r="J284" s="46"/>
      <c r="K284" s="46"/>
      <c r="L284" s="46"/>
      <c r="M284" s="1"/>
      <c r="N284" s="47"/>
      <c r="O284" s="46"/>
      <c r="P284" s="1"/>
      <c r="Q284" s="1"/>
      <c r="R284" s="46"/>
      <c r="S284" s="1"/>
      <c r="T284" s="1"/>
      <c r="U284" s="1"/>
      <c r="V284" s="43"/>
    </row>
    <row r="285" ht="15.75" customHeight="1">
      <c r="A285" s="1"/>
      <c r="B285" s="1"/>
      <c r="C285" s="46"/>
      <c r="D285" s="1"/>
      <c r="E285" s="1"/>
      <c r="F285" s="1"/>
      <c r="G285" s="46"/>
      <c r="H285" s="1"/>
      <c r="I285" s="1"/>
      <c r="J285" s="46"/>
      <c r="K285" s="46"/>
      <c r="L285" s="46"/>
      <c r="M285" s="1"/>
      <c r="N285" s="47"/>
      <c r="O285" s="46"/>
      <c r="P285" s="1"/>
      <c r="Q285" s="1"/>
      <c r="R285" s="46"/>
      <c r="S285" s="1"/>
      <c r="T285" s="1"/>
      <c r="U285" s="1"/>
      <c r="V285" s="43"/>
    </row>
    <row r="286" ht="15.75" customHeight="1">
      <c r="A286" s="1"/>
      <c r="B286" s="1"/>
      <c r="C286" s="46"/>
      <c r="D286" s="1"/>
      <c r="E286" s="1"/>
      <c r="F286" s="1"/>
      <c r="G286" s="46"/>
      <c r="H286" s="1"/>
      <c r="I286" s="1"/>
      <c r="J286" s="46"/>
      <c r="K286" s="46"/>
      <c r="L286" s="46"/>
      <c r="M286" s="1"/>
      <c r="N286" s="47"/>
      <c r="O286" s="46"/>
      <c r="P286" s="1"/>
      <c r="Q286" s="1"/>
      <c r="R286" s="46"/>
      <c r="S286" s="1"/>
      <c r="T286" s="1"/>
      <c r="U286" s="1"/>
      <c r="V286" s="43"/>
    </row>
    <row r="287" ht="15.75" customHeight="1">
      <c r="A287" s="1"/>
      <c r="B287" s="1"/>
      <c r="C287" s="46"/>
      <c r="D287" s="1"/>
      <c r="E287" s="1"/>
      <c r="F287" s="1"/>
      <c r="G287" s="46"/>
      <c r="H287" s="1"/>
      <c r="I287" s="1"/>
      <c r="J287" s="46"/>
      <c r="K287" s="46"/>
      <c r="L287" s="46"/>
      <c r="M287" s="1"/>
      <c r="N287" s="47"/>
      <c r="O287" s="46"/>
      <c r="P287" s="1"/>
      <c r="Q287" s="1"/>
      <c r="R287" s="46"/>
      <c r="S287" s="1"/>
      <c r="T287" s="1"/>
      <c r="U287" s="1"/>
      <c r="V287" s="43"/>
    </row>
    <row r="288" ht="15.75" customHeight="1">
      <c r="A288" s="1"/>
      <c r="B288" s="1"/>
      <c r="C288" s="46"/>
      <c r="D288" s="1"/>
      <c r="E288" s="1"/>
      <c r="F288" s="1"/>
      <c r="G288" s="46"/>
      <c r="H288" s="1"/>
      <c r="I288" s="1"/>
      <c r="J288" s="46"/>
      <c r="K288" s="46"/>
      <c r="L288" s="46"/>
      <c r="M288" s="1"/>
      <c r="N288" s="47"/>
      <c r="O288" s="46"/>
      <c r="P288" s="1"/>
      <c r="Q288" s="1"/>
      <c r="R288" s="46"/>
      <c r="S288" s="1"/>
      <c r="T288" s="1"/>
      <c r="U288" s="1"/>
      <c r="V288" s="43"/>
    </row>
    <row r="289" ht="15.75" customHeight="1">
      <c r="A289" s="1"/>
      <c r="B289" s="1"/>
      <c r="C289" s="46"/>
      <c r="D289" s="1"/>
      <c r="E289" s="1"/>
      <c r="F289" s="1"/>
      <c r="G289" s="46"/>
      <c r="H289" s="1"/>
      <c r="I289" s="1"/>
      <c r="J289" s="46"/>
      <c r="K289" s="46"/>
      <c r="L289" s="46"/>
      <c r="M289" s="1"/>
      <c r="N289" s="47"/>
      <c r="O289" s="46"/>
      <c r="P289" s="1"/>
      <c r="Q289" s="1"/>
      <c r="R289" s="46"/>
      <c r="S289" s="1"/>
      <c r="T289" s="1"/>
      <c r="U289" s="1"/>
      <c r="V289" s="43"/>
    </row>
    <row r="290" ht="15.75" customHeight="1">
      <c r="A290" s="1"/>
      <c r="B290" s="1"/>
      <c r="C290" s="46"/>
      <c r="D290" s="1"/>
      <c r="E290" s="1"/>
      <c r="F290" s="1"/>
      <c r="G290" s="46"/>
      <c r="H290" s="1"/>
      <c r="I290" s="1"/>
      <c r="J290" s="46"/>
      <c r="K290" s="46"/>
      <c r="L290" s="46"/>
      <c r="M290" s="1"/>
      <c r="N290" s="47"/>
      <c r="O290" s="46"/>
      <c r="P290" s="1"/>
      <c r="Q290" s="1"/>
      <c r="R290" s="46"/>
      <c r="S290" s="1"/>
      <c r="T290" s="1"/>
      <c r="U290" s="1"/>
      <c r="V290" s="43"/>
    </row>
    <row r="291" ht="15.75" customHeight="1">
      <c r="A291" s="1"/>
      <c r="B291" s="1"/>
      <c r="C291" s="46"/>
      <c r="D291" s="1"/>
      <c r="E291" s="1"/>
      <c r="F291" s="1"/>
      <c r="G291" s="46"/>
      <c r="H291" s="1"/>
      <c r="I291" s="1"/>
      <c r="J291" s="46"/>
      <c r="K291" s="46"/>
      <c r="L291" s="46"/>
      <c r="M291" s="1"/>
      <c r="N291" s="47"/>
      <c r="O291" s="46"/>
      <c r="P291" s="1"/>
      <c r="Q291" s="1"/>
      <c r="R291" s="46"/>
      <c r="S291" s="1"/>
      <c r="T291" s="1"/>
      <c r="U291" s="1"/>
      <c r="V291" s="43"/>
    </row>
    <row r="292" ht="15.75" customHeight="1">
      <c r="A292" s="1"/>
      <c r="B292" s="1"/>
      <c r="C292" s="46"/>
      <c r="D292" s="1"/>
      <c r="E292" s="1"/>
      <c r="F292" s="1"/>
      <c r="G292" s="46"/>
      <c r="H292" s="1"/>
      <c r="I292" s="1"/>
      <c r="J292" s="46"/>
      <c r="K292" s="46"/>
      <c r="L292" s="46"/>
      <c r="M292" s="1"/>
      <c r="N292" s="47"/>
      <c r="O292" s="46"/>
      <c r="P292" s="1"/>
      <c r="Q292" s="1"/>
      <c r="R292" s="46"/>
      <c r="S292" s="1"/>
      <c r="T292" s="1"/>
      <c r="U292" s="1"/>
      <c r="V292" s="43"/>
    </row>
    <row r="293" ht="15.75" customHeight="1">
      <c r="A293" s="1"/>
      <c r="B293" s="1"/>
      <c r="C293" s="46"/>
      <c r="D293" s="1"/>
      <c r="E293" s="1"/>
      <c r="F293" s="1"/>
      <c r="G293" s="46"/>
      <c r="H293" s="1"/>
      <c r="I293" s="1"/>
      <c r="J293" s="46"/>
      <c r="K293" s="46"/>
      <c r="L293" s="46"/>
      <c r="M293" s="1"/>
      <c r="N293" s="47"/>
      <c r="O293" s="46"/>
      <c r="P293" s="1"/>
      <c r="Q293" s="1"/>
      <c r="R293" s="46"/>
      <c r="S293" s="1"/>
      <c r="T293" s="1"/>
      <c r="U293" s="1"/>
      <c r="V293" s="43"/>
    </row>
    <row r="294" ht="15.75" customHeight="1">
      <c r="A294" s="1"/>
      <c r="B294" s="1"/>
      <c r="C294" s="46"/>
      <c r="D294" s="1"/>
      <c r="E294" s="1"/>
      <c r="F294" s="1"/>
      <c r="G294" s="46"/>
      <c r="H294" s="1"/>
      <c r="I294" s="1"/>
      <c r="J294" s="46"/>
      <c r="K294" s="46"/>
      <c r="L294" s="46"/>
      <c r="M294" s="1"/>
      <c r="N294" s="47"/>
      <c r="O294" s="46"/>
      <c r="P294" s="1"/>
      <c r="Q294" s="1"/>
      <c r="R294" s="46"/>
      <c r="S294" s="1"/>
      <c r="T294" s="1"/>
      <c r="U294" s="1"/>
      <c r="V294" s="43"/>
    </row>
    <row r="295" ht="15.75" customHeight="1">
      <c r="A295" s="1"/>
      <c r="B295" s="1"/>
      <c r="C295" s="46"/>
      <c r="D295" s="1"/>
      <c r="E295" s="1"/>
      <c r="F295" s="1"/>
      <c r="G295" s="46"/>
      <c r="H295" s="1"/>
      <c r="I295" s="1"/>
      <c r="J295" s="46"/>
      <c r="K295" s="46"/>
      <c r="L295" s="46"/>
      <c r="M295" s="1"/>
      <c r="N295" s="47"/>
      <c r="O295" s="46"/>
      <c r="P295" s="1"/>
      <c r="Q295" s="1"/>
      <c r="R295" s="46"/>
      <c r="S295" s="1"/>
      <c r="T295" s="1"/>
      <c r="U295" s="1"/>
      <c r="V295" s="43"/>
    </row>
    <row r="296" ht="15.75" customHeight="1">
      <c r="A296" s="1"/>
      <c r="B296" s="1"/>
      <c r="C296" s="46"/>
      <c r="D296" s="1"/>
      <c r="E296" s="1"/>
      <c r="F296" s="1"/>
      <c r="G296" s="46"/>
      <c r="H296" s="1"/>
      <c r="I296" s="1"/>
      <c r="J296" s="46"/>
      <c r="K296" s="46"/>
      <c r="L296" s="46"/>
      <c r="M296" s="1"/>
      <c r="N296" s="47"/>
      <c r="O296" s="46"/>
      <c r="P296" s="1"/>
      <c r="Q296" s="1"/>
      <c r="R296" s="46"/>
      <c r="S296" s="1"/>
      <c r="T296" s="1"/>
      <c r="U296" s="1"/>
      <c r="V296" s="43"/>
    </row>
    <row r="297" ht="15.75" customHeight="1">
      <c r="A297" s="1"/>
      <c r="B297" s="1"/>
      <c r="C297" s="46"/>
      <c r="D297" s="1"/>
      <c r="E297" s="1"/>
      <c r="F297" s="1"/>
      <c r="G297" s="46"/>
      <c r="H297" s="1"/>
      <c r="I297" s="1"/>
      <c r="J297" s="46"/>
      <c r="K297" s="46"/>
      <c r="L297" s="46"/>
      <c r="M297" s="1"/>
      <c r="N297" s="47"/>
      <c r="O297" s="46"/>
      <c r="P297" s="1"/>
      <c r="Q297" s="1"/>
      <c r="R297" s="46"/>
      <c r="S297" s="1"/>
      <c r="T297" s="1"/>
      <c r="U297" s="1"/>
      <c r="V297" s="43"/>
    </row>
    <row r="298" ht="15.75" customHeight="1">
      <c r="A298" s="1"/>
      <c r="B298" s="1"/>
      <c r="C298" s="46"/>
      <c r="D298" s="1"/>
      <c r="E298" s="1"/>
      <c r="F298" s="1"/>
      <c r="G298" s="46"/>
      <c r="H298" s="1"/>
      <c r="I298" s="1"/>
      <c r="J298" s="46"/>
      <c r="K298" s="46"/>
      <c r="L298" s="46"/>
      <c r="M298" s="1"/>
      <c r="N298" s="47"/>
      <c r="O298" s="46"/>
      <c r="P298" s="1"/>
      <c r="Q298" s="1"/>
      <c r="R298" s="46"/>
      <c r="S298" s="1"/>
      <c r="T298" s="1"/>
      <c r="U298" s="1"/>
      <c r="V298" s="43"/>
    </row>
    <row r="299" ht="15.75" customHeight="1">
      <c r="A299" s="1"/>
      <c r="B299" s="1"/>
      <c r="C299" s="46"/>
      <c r="D299" s="1"/>
      <c r="E299" s="1"/>
      <c r="F299" s="1"/>
      <c r="G299" s="46"/>
      <c r="H299" s="1"/>
      <c r="I299" s="1"/>
      <c r="J299" s="46"/>
      <c r="K299" s="46"/>
      <c r="L299" s="46"/>
      <c r="M299" s="1"/>
      <c r="N299" s="47"/>
      <c r="O299" s="46"/>
      <c r="P299" s="1"/>
      <c r="Q299" s="1"/>
      <c r="R299" s="46"/>
      <c r="S299" s="1"/>
      <c r="T299" s="1"/>
      <c r="U299" s="1"/>
      <c r="V299" s="43"/>
    </row>
    <row r="300" ht="15.75" customHeight="1">
      <c r="A300" s="1"/>
      <c r="B300" s="1"/>
      <c r="C300" s="46"/>
      <c r="D300" s="1"/>
      <c r="E300" s="1"/>
      <c r="F300" s="1"/>
      <c r="G300" s="46"/>
      <c r="H300" s="1"/>
      <c r="I300" s="1"/>
      <c r="J300" s="46"/>
      <c r="K300" s="46"/>
      <c r="L300" s="46"/>
      <c r="M300" s="1"/>
      <c r="N300" s="47"/>
      <c r="O300" s="46"/>
      <c r="P300" s="1"/>
      <c r="Q300" s="1"/>
      <c r="R300" s="46"/>
      <c r="S300" s="1"/>
      <c r="T300" s="1"/>
      <c r="U300" s="1"/>
      <c r="V300" s="43"/>
    </row>
    <row r="301" ht="15.75" customHeight="1">
      <c r="A301" s="1"/>
      <c r="B301" s="1"/>
      <c r="C301" s="46"/>
      <c r="D301" s="1"/>
      <c r="E301" s="1"/>
      <c r="F301" s="1"/>
      <c r="G301" s="46"/>
      <c r="H301" s="1"/>
      <c r="I301" s="1"/>
      <c r="J301" s="46"/>
      <c r="K301" s="46"/>
      <c r="L301" s="46"/>
      <c r="M301" s="1"/>
      <c r="N301" s="47"/>
      <c r="O301" s="46"/>
      <c r="P301" s="1"/>
      <c r="Q301" s="1"/>
      <c r="R301" s="46"/>
      <c r="S301" s="1"/>
      <c r="T301" s="1"/>
      <c r="U301" s="1"/>
      <c r="V301" s="43"/>
    </row>
    <row r="302" ht="15.75" customHeight="1">
      <c r="A302" s="1"/>
      <c r="B302" s="1"/>
      <c r="C302" s="46"/>
      <c r="D302" s="1"/>
      <c r="E302" s="1"/>
      <c r="F302" s="1"/>
      <c r="G302" s="46"/>
      <c r="H302" s="1"/>
      <c r="I302" s="1"/>
      <c r="J302" s="46"/>
      <c r="K302" s="46"/>
      <c r="L302" s="46"/>
      <c r="M302" s="1"/>
      <c r="N302" s="47"/>
      <c r="O302" s="46"/>
      <c r="P302" s="1"/>
      <c r="Q302" s="1"/>
      <c r="R302" s="46"/>
      <c r="S302" s="1"/>
      <c r="T302" s="1"/>
      <c r="U302" s="1"/>
      <c r="V302" s="43"/>
    </row>
    <row r="303" ht="15.75" customHeight="1">
      <c r="A303" s="1"/>
      <c r="B303" s="1"/>
      <c r="C303" s="46"/>
      <c r="D303" s="1"/>
      <c r="E303" s="1"/>
      <c r="F303" s="1"/>
      <c r="G303" s="46"/>
      <c r="H303" s="1"/>
      <c r="I303" s="1"/>
      <c r="J303" s="46"/>
      <c r="K303" s="46"/>
      <c r="L303" s="46"/>
      <c r="M303" s="1"/>
      <c r="N303" s="47"/>
      <c r="O303" s="46"/>
      <c r="P303" s="1"/>
      <c r="Q303" s="1"/>
      <c r="R303" s="46"/>
      <c r="S303" s="1"/>
      <c r="T303" s="1"/>
      <c r="U303" s="1"/>
      <c r="V303" s="43"/>
    </row>
    <row r="304" ht="15.75" customHeight="1">
      <c r="A304" s="1"/>
      <c r="B304" s="1"/>
      <c r="C304" s="46"/>
      <c r="D304" s="1"/>
      <c r="E304" s="1"/>
      <c r="F304" s="1"/>
      <c r="G304" s="46"/>
      <c r="H304" s="1"/>
      <c r="I304" s="1"/>
      <c r="J304" s="46"/>
      <c r="K304" s="46"/>
      <c r="L304" s="46"/>
      <c r="M304" s="1"/>
      <c r="N304" s="47"/>
      <c r="O304" s="46"/>
      <c r="P304" s="1"/>
      <c r="Q304" s="1"/>
      <c r="R304" s="46"/>
      <c r="S304" s="1"/>
      <c r="T304" s="1"/>
      <c r="U304" s="1"/>
      <c r="V304" s="43"/>
    </row>
    <row r="305" ht="15.75" customHeight="1">
      <c r="A305" s="1"/>
      <c r="B305" s="1"/>
      <c r="C305" s="46"/>
      <c r="D305" s="1"/>
      <c r="E305" s="1"/>
      <c r="F305" s="1"/>
      <c r="G305" s="46"/>
      <c r="H305" s="1"/>
      <c r="I305" s="1"/>
      <c r="J305" s="46"/>
      <c r="K305" s="46"/>
      <c r="L305" s="46"/>
      <c r="M305" s="1"/>
      <c r="N305" s="47"/>
      <c r="O305" s="46"/>
      <c r="P305" s="1"/>
      <c r="Q305" s="1"/>
      <c r="R305" s="46"/>
      <c r="S305" s="1"/>
      <c r="T305" s="1"/>
      <c r="U305" s="1"/>
      <c r="V305" s="43"/>
    </row>
    <row r="306" ht="15.75" customHeight="1">
      <c r="A306" s="1"/>
      <c r="B306" s="1"/>
      <c r="C306" s="46"/>
      <c r="D306" s="1"/>
      <c r="E306" s="1"/>
      <c r="F306" s="1"/>
      <c r="G306" s="46"/>
      <c r="H306" s="1"/>
      <c r="I306" s="1"/>
      <c r="J306" s="46"/>
      <c r="K306" s="46"/>
      <c r="L306" s="46"/>
      <c r="M306" s="1"/>
      <c r="N306" s="47"/>
      <c r="O306" s="46"/>
      <c r="P306" s="1"/>
      <c r="Q306" s="1"/>
      <c r="R306" s="46"/>
      <c r="S306" s="1"/>
      <c r="T306" s="1"/>
      <c r="U306" s="1"/>
      <c r="V306" s="43"/>
    </row>
    <row r="307" ht="15.75" customHeight="1">
      <c r="A307" s="1"/>
      <c r="B307" s="1"/>
      <c r="C307" s="46"/>
      <c r="D307" s="1"/>
      <c r="E307" s="1"/>
      <c r="F307" s="1"/>
      <c r="G307" s="46"/>
      <c r="H307" s="1"/>
      <c r="I307" s="1"/>
      <c r="J307" s="46"/>
      <c r="K307" s="46"/>
      <c r="L307" s="46"/>
      <c r="M307" s="1"/>
      <c r="N307" s="47"/>
      <c r="O307" s="46"/>
      <c r="P307" s="1"/>
      <c r="Q307" s="1"/>
      <c r="R307" s="46"/>
      <c r="S307" s="1"/>
      <c r="T307" s="1"/>
      <c r="U307" s="1"/>
      <c r="V307" s="43"/>
    </row>
    <row r="308" ht="15.75" customHeight="1">
      <c r="A308" s="1"/>
      <c r="B308" s="1"/>
      <c r="C308" s="46"/>
      <c r="D308" s="1"/>
      <c r="E308" s="1"/>
      <c r="F308" s="1"/>
      <c r="G308" s="46"/>
      <c r="H308" s="1"/>
      <c r="I308" s="1"/>
      <c r="J308" s="46"/>
      <c r="K308" s="46"/>
      <c r="L308" s="46"/>
      <c r="M308" s="1"/>
      <c r="N308" s="47"/>
      <c r="O308" s="46"/>
      <c r="P308" s="1"/>
      <c r="Q308" s="1"/>
      <c r="R308" s="46"/>
      <c r="S308" s="1"/>
      <c r="T308" s="1"/>
      <c r="U308" s="1"/>
      <c r="V308" s="43"/>
    </row>
    <row r="309" ht="15.75" customHeight="1">
      <c r="A309" s="1"/>
      <c r="B309" s="1"/>
      <c r="C309" s="46"/>
      <c r="D309" s="1"/>
      <c r="E309" s="1"/>
      <c r="F309" s="1"/>
      <c r="G309" s="46"/>
      <c r="H309" s="1"/>
      <c r="I309" s="1"/>
      <c r="J309" s="46"/>
      <c r="K309" s="46"/>
      <c r="L309" s="46"/>
      <c r="M309" s="1"/>
      <c r="N309" s="47"/>
      <c r="O309" s="46"/>
      <c r="P309" s="1"/>
      <c r="Q309" s="1"/>
      <c r="R309" s="46"/>
      <c r="S309" s="1"/>
      <c r="T309" s="1"/>
      <c r="U309" s="1"/>
      <c r="V309" s="43"/>
    </row>
    <row r="310" ht="15.75" customHeight="1">
      <c r="A310" s="1"/>
      <c r="B310" s="1"/>
      <c r="C310" s="46"/>
      <c r="D310" s="1"/>
      <c r="E310" s="1"/>
      <c r="F310" s="1"/>
      <c r="G310" s="46"/>
      <c r="H310" s="1"/>
      <c r="I310" s="1"/>
      <c r="J310" s="46"/>
      <c r="K310" s="46"/>
      <c r="L310" s="46"/>
      <c r="M310" s="1"/>
      <c r="N310" s="47"/>
      <c r="O310" s="46"/>
      <c r="P310" s="1"/>
      <c r="Q310" s="1"/>
      <c r="R310" s="46"/>
      <c r="S310" s="1"/>
      <c r="T310" s="1"/>
      <c r="U310" s="1"/>
      <c r="V310" s="43"/>
    </row>
    <row r="311" ht="15.75" customHeight="1">
      <c r="A311" s="1"/>
      <c r="B311" s="1"/>
      <c r="C311" s="46"/>
      <c r="D311" s="1"/>
      <c r="E311" s="1"/>
      <c r="F311" s="1"/>
      <c r="G311" s="46"/>
      <c r="H311" s="1"/>
      <c r="I311" s="1"/>
      <c r="J311" s="46"/>
      <c r="K311" s="46"/>
      <c r="L311" s="46"/>
      <c r="M311" s="1"/>
      <c r="N311" s="47"/>
      <c r="O311" s="46"/>
      <c r="P311" s="1"/>
      <c r="Q311" s="1"/>
      <c r="R311" s="46"/>
      <c r="S311" s="1"/>
      <c r="T311" s="1"/>
      <c r="U311" s="1"/>
      <c r="V311" s="43"/>
    </row>
    <row r="312" ht="15.75" customHeight="1">
      <c r="A312" s="1"/>
      <c r="B312" s="1"/>
      <c r="C312" s="46"/>
      <c r="D312" s="1"/>
      <c r="E312" s="1"/>
      <c r="F312" s="1"/>
      <c r="G312" s="46"/>
      <c r="H312" s="1"/>
      <c r="I312" s="1"/>
      <c r="J312" s="46"/>
      <c r="K312" s="46"/>
      <c r="L312" s="46"/>
      <c r="M312" s="1"/>
      <c r="N312" s="47"/>
      <c r="O312" s="46"/>
      <c r="P312" s="1"/>
      <c r="Q312" s="1"/>
      <c r="R312" s="46"/>
      <c r="S312" s="1"/>
      <c r="T312" s="1"/>
      <c r="U312" s="1"/>
      <c r="V312" s="43"/>
    </row>
    <row r="313" ht="15.75" customHeight="1">
      <c r="A313" s="1"/>
      <c r="B313" s="1"/>
      <c r="C313" s="46"/>
      <c r="D313" s="1"/>
      <c r="E313" s="1"/>
      <c r="F313" s="1"/>
      <c r="G313" s="46"/>
      <c r="H313" s="1"/>
      <c r="I313" s="1"/>
      <c r="J313" s="46"/>
      <c r="K313" s="46"/>
      <c r="L313" s="46"/>
      <c r="M313" s="1"/>
      <c r="N313" s="47"/>
      <c r="O313" s="46"/>
      <c r="P313" s="1"/>
      <c r="Q313" s="1"/>
      <c r="R313" s="46"/>
      <c r="S313" s="1"/>
      <c r="T313" s="1"/>
      <c r="U313" s="1"/>
      <c r="V313" s="43"/>
    </row>
    <row r="314" ht="15.75" customHeight="1">
      <c r="A314" s="1"/>
      <c r="B314" s="1"/>
      <c r="C314" s="46"/>
      <c r="D314" s="1"/>
      <c r="E314" s="1"/>
      <c r="F314" s="1"/>
      <c r="G314" s="46"/>
      <c r="H314" s="1"/>
      <c r="I314" s="1"/>
      <c r="J314" s="46"/>
      <c r="K314" s="46"/>
      <c r="L314" s="46"/>
      <c r="M314" s="1"/>
      <c r="N314" s="47"/>
      <c r="O314" s="46"/>
      <c r="P314" s="1"/>
      <c r="Q314" s="1"/>
      <c r="R314" s="46"/>
      <c r="S314" s="1"/>
      <c r="T314" s="1"/>
      <c r="U314" s="1"/>
      <c r="V314" s="43"/>
    </row>
    <row r="315" ht="15.75" customHeight="1">
      <c r="A315" s="1"/>
      <c r="B315" s="1"/>
      <c r="C315" s="46"/>
      <c r="D315" s="1"/>
      <c r="E315" s="1"/>
      <c r="F315" s="1"/>
      <c r="G315" s="46"/>
      <c r="H315" s="1"/>
      <c r="I315" s="1"/>
      <c r="J315" s="46"/>
      <c r="K315" s="46"/>
      <c r="L315" s="46"/>
      <c r="M315" s="1"/>
      <c r="N315" s="47"/>
      <c r="O315" s="46"/>
      <c r="P315" s="1"/>
      <c r="Q315" s="1"/>
      <c r="R315" s="46"/>
      <c r="S315" s="1"/>
      <c r="T315" s="1"/>
      <c r="U315" s="1"/>
      <c r="V315" s="43"/>
    </row>
    <row r="316" ht="15.75" customHeight="1">
      <c r="A316" s="1"/>
      <c r="B316" s="1"/>
      <c r="C316" s="46"/>
      <c r="D316" s="1"/>
      <c r="E316" s="1"/>
      <c r="F316" s="1"/>
      <c r="G316" s="46"/>
      <c r="H316" s="1"/>
      <c r="I316" s="1"/>
      <c r="J316" s="46"/>
      <c r="K316" s="46"/>
      <c r="L316" s="46"/>
      <c r="M316" s="1"/>
      <c r="N316" s="47"/>
      <c r="O316" s="46"/>
      <c r="P316" s="1"/>
      <c r="Q316" s="1"/>
      <c r="R316" s="46"/>
      <c r="S316" s="1"/>
      <c r="T316" s="1"/>
      <c r="U316" s="1"/>
      <c r="V316" s="43"/>
    </row>
    <row r="317" ht="15.75" customHeight="1">
      <c r="A317" s="1"/>
      <c r="B317" s="1"/>
      <c r="C317" s="46"/>
      <c r="D317" s="1"/>
      <c r="E317" s="1"/>
      <c r="F317" s="1"/>
      <c r="G317" s="46"/>
      <c r="H317" s="1"/>
      <c r="I317" s="1"/>
      <c r="J317" s="46"/>
      <c r="K317" s="46"/>
      <c r="L317" s="46"/>
      <c r="M317" s="1"/>
      <c r="N317" s="47"/>
      <c r="O317" s="46"/>
      <c r="P317" s="1"/>
      <c r="Q317" s="1"/>
      <c r="R317" s="46"/>
      <c r="S317" s="1"/>
      <c r="T317" s="1"/>
      <c r="U317" s="1"/>
      <c r="V317" s="43"/>
    </row>
    <row r="318" ht="15.75" customHeight="1">
      <c r="A318" s="1"/>
      <c r="B318" s="1"/>
      <c r="C318" s="46"/>
      <c r="D318" s="1"/>
      <c r="E318" s="1"/>
      <c r="F318" s="1"/>
      <c r="G318" s="46"/>
      <c r="H318" s="1"/>
      <c r="I318" s="1"/>
      <c r="J318" s="46"/>
      <c r="K318" s="46"/>
      <c r="L318" s="46"/>
      <c r="M318" s="1"/>
      <c r="N318" s="47"/>
      <c r="O318" s="46"/>
      <c r="P318" s="1"/>
      <c r="Q318" s="1"/>
      <c r="R318" s="46"/>
      <c r="S318" s="1"/>
      <c r="T318" s="1"/>
      <c r="U318" s="1"/>
      <c r="V318" s="43"/>
    </row>
    <row r="319" ht="15.75" customHeight="1">
      <c r="A319" s="1"/>
      <c r="B319" s="1"/>
      <c r="C319" s="46"/>
      <c r="D319" s="1"/>
      <c r="E319" s="1"/>
      <c r="F319" s="1"/>
      <c r="G319" s="46"/>
      <c r="H319" s="1"/>
      <c r="I319" s="1"/>
      <c r="J319" s="46"/>
      <c r="K319" s="46"/>
      <c r="L319" s="46"/>
      <c r="M319" s="1"/>
      <c r="N319" s="47"/>
      <c r="O319" s="46"/>
      <c r="P319" s="1"/>
      <c r="Q319" s="1"/>
      <c r="R319" s="46"/>
      <c r="S319" s="1"/>
      <c r="T319" s="1"/>
      <c r="U319" s="1"/>
      <c r="V319" s="43"/>
    </row>
    <row r="320" ht="15.75" customHeight="1">
      <c r="A320" s="1"/>
      <c r="B320" s="1"/>
      <c r="C320" s="46"/>
      <c r="D320" s="1"/>
      <c r="E320" s="1"/>
      <c r="F320" s="1"/>
      <c r="G320" s="46"/>
      <c r="H320" s="1"/>
      <c r="I320" s="1"/>
      <c r="J320" s="46"/>
      <c r="K320" s="46"/>
      <c r="L320" s="46"/>
      <c r="M320" s="1"/>
      <c r="N320" s="47"/>
      <c r="O320" s="46"/>
      <c r="P320" s="1"/>
      <c r="Q320" s="1"/>
      <c r="R320" s="46"/>
      <c r="S320" s="1"/>
      <c r="T320" s="1"/>
      <c r="U320" s="1"/>
      <c r="V320" s="43"/>
    </row>
    <row r="321" ht="15.75" customHeight="1">
      <c r="A321" s="1"/>
      <c r="B321" s="1"/>
      <c r="C321" s="46"/>
      <c r="D321" s="1"/>
      <c r="E321" s="1"/>
      <c r="F321" s="1"/>
      <c r="G321" s="46"/>
      <c r="H321" s="1"/>
      <c r="I321" s="1"/>
      <c r="J321" s="46"/>
      <c r="K321" s="46"/>
      <c r="L321" s="46"/>
      <c r="M321" s="1"/>
      <c r="N321" s="47"/>
      <c r="O321" s="46"/>
      <c r="P321" s="1"/>
      <c r="Q321" s="1"/>
      <c r="R321" s="46"/>
      <c r="S321" s="1"/>
      <c r="T321" s="1"/>
      <c r="U321" s="1"/>
      <c r="V321" s="43"/>
    </row>
    <row r="322" ht="15.75" customHeight="1">
      <c r="A322" s="1"/>
      <c r="B322" s="1"/>
      <c r="C322" s="46"/>
      <c r="D322" s="1"/>
      <c r="E322" s="1"/>
      <c r="F322" s="1"/>
      <c r="G322" s="46"/>
      <c r="H322" s="1"/>
      <c r="I322" s="1"/>
      <c r="J322" s="46"/>
      <c r="K322" s="46"/>
      <c r="L322" s="46"/>
      <c r="M322" s="1"/>
      <c r="N322" s="47"/>
      <c r="O322" s="46"/>
      <c r="P322" s="1"/>
      <c r="Q322" s="1"/>
      <c r="R322" s="46"/>
      <c r="S322" s="1"/>
      <c r="T322" s="1"/>
      <c r="U322" s="1"/>
      <c r="V322" s="43"/>
    </row>
    <row r="323" ht="15.75" customHeight="1">
      <c r="A323" s="1"/>
      <c r="B323" s="1"/>
      <c r="C323" s="46"/>
      <c r="D323" s="1"/>
      <c r="E323" s="1"/>
      <c r="F323" s="1"/>
      <c r="G323" s="46"/>
      <c r="H323" s="1"/>
      <c r="I323" s="1"/>
      <c r="J323" s="46"/>
      <c r="K323" s="46"/>
      <c r="L323" s="46"/>
      <c r="M323" s="1"/>
      <c r="N323" s="47"/>
      <c r="O323" s="46"/>
      <c r="P323" s="1"/>
      <c r="Q323" s="1"/>
      <c r="R323" s="46"/>
      <c r="S323" s="1"/>
      <c r="T323" s="1"/>
      <c r="U323" s="1"/>
      <c r="V323" s="43"/>
    </row>
    <row r="324" ht="15.75" customHeight="1">
      <c r="A324" s="1"/>
      <c r="B324" s="1"/>
      <c r="C324" s="46"/>
      <c r="D324" s="1"/>
      <c r="E324" s="1"/>
      <c r="F324" s="1"/>
      <c r="G324" s="46"/>
      <c r="H324" s="1"/>
      <c r="I324" s="1"/>
      <c r="J324" s="46"/>
      <c r="K324" s="46"/>
      <c r="L324" s="46"/>
      <c r="M324" s="1"/>
      <c r="N324" s="47"/>
      <c r="O324" s="46"/>
      <c r="P324" s="1"/>
      <c r="Q324" s="1"/>
      <c r="R324" s="46"/>
      <c r="S324" s="1"/>
      <c r="T324" s="1"/>
      <c r="U324" s="1"/>
      <c r="V324" s="43"/>
    </row>
    <row r="325" ht="15.75" customHeight="1">
      <c r="A325" s="1"/>
      <c r="B325" s="1"/>
      <c r="C325" s="46"/>
      <c r="D325" s="1"/>
      <c r="E325" s="1"/>
      <c r="F325" s="1"/>
      <c r="G325" s="46"/>
      <c r="H325" s="1"/>
      <c r="I325" s="1"/>
      <c r="J325" s="46"/>
      <c r="K325" s="46"/>
      <c r="L325" s="46"/>
      <c r="M325" s="1"/>
      <c r="N325" s="47"/>
      <c r="O325" s="46"/>
      <c r="P325" s="1"/>
      <c r="Q325" s="1"/>
      <c r="R325" s="46"/>
      <c r="S325" s="1"/>
      <c r="T325" s="1"/>
      <c r="U325" s="1"/>
      <c r="V325" s="43"/>
    </row>
    <row r="326" ht="15.75" customHeight="1">
      <c r="A326" s="1"/>
      <c r="B326" s="1"/>
      <c r="C326" s="46"/>
      <c r="D326" s="1"/>
      <c r="E326" s="1"/>
      <c r="F326" s="1"/>
      <c r="G326" s="46"/>
      <c r="H326" s="1"/>
      <c r="I326" s="1"/>
      <c r="J326" s="46"/>
      <c r="K326" s="46"/>
      <c r="L326" s="46"/>
      <c r="M326" s="1"/>
      <c r="N326" s="47"/>
      <c r="O326" s="46"/>
      <c r="P326" s="1"/>
      <c r="Q326" s="1"/>
      <c r="R326" s="46"/>
      <c r="S326" s="1"/>
      <c r="T326" s="1"/>
      <c r="U326" s="1"/>
      <c r="V326" s="43"/>
    </row>
    <row r="327" ht="15.75" customHeight="1">
      <c r="A327" s="1"/>
      <c r="B327" s="1"/>
      <c r="C327" s="46"/>
      <c r="D327" s="1"/>
      <c r="E327" s="1"/>
      <c r="F327" s="1"/>
      <c r="G327" s="46"/>
      <c r="H327" s="1"/>
      <c r="I327" s="1"/>
      <c r="J327" s="46"/>
      <c r="K327" s="46"/>
      <c r="L327" s="46"/>
      <c r="M327" s="1"/>
      <c r="N327" s="47"/>
      <c r="O327" s="46"/>
      <c r="P327" s="1"/>
      <c r="Q327" s="1"/>
      <c r="R327" s="46"/>
      <c r="S327" s="1"/>
      <c r="T327" s="1"/>
      <c r="U327" s="1"/>
      <c r="V327" s="43"/>
    </row>
    <row r="328" ht="15.75" customHeight="1">
      <c r="A328" s="1"/>
      <c r="B328" s="1"/>
      <c r="C328" s="46"/>
      <c r="D328" s="1"/>
      <c r="E328" s="1"/>
      <c r="F328" s="1"/>
      <c r="G328" s="46"/>
      <c r="H328" s="1"/>
      <c r="I328" s="1"/>
      <c r="J328" s="46"/>
      <c r="K328" s="46"/>
      <c r="L328" s="46"/>
      <c r="M328" s="1"/>
      <c r="N328" s="47"/>
      <c r="O328" s="46"/>
      <c r="P328" s="1"/>
      <c r="Q328" s="1"/>
      <c r="R328" s="46"/>
      <c r="S328" s="1"/>
      <c r="T328" s="1"/>
      <c r="U328" s="1"/>
      <c r="V328" s="43"/>
    </row>
    <row r="329" ht="15.75" customHeight="1">
      <c r="A329" s="1"/>
      <c r="B329" s="1"/>
      <c r="C329" s="46"/>
      <c r="D329" s="1"/>
      <c r="E329" s="1"/>
      <c r="F329" s="1"/>
      <c r="G329" s="46"/>
      <c r="H329" s="1"/>
      <c r="I329" s="1"/>
      <c r="J329" s="46"/>
      <c r="K329" s="46"/>
      <c r="L329" s="46"/>
      <c r="M329" s="1"/>
      <c r="N329" s="47"/>
      <c r="O329" s="46"/>
      <c r="P329" s="1"/>
      <c r="Q329" s="1"/>
      <c r="R329" s="46"/>
      <c r="S329" s="1"/>
      <c r="T329" s="1"/>
      <c r="U329" s="1"/>
      <c r="V329" s="43"/>
    </row>
    <row r="330" ht="15.75" customHeight="1">
      <c r="A330" s="1"/>
      <c r="B330" s="1"/>
      <c r="C330" s="46"/>
      <c r="D330" s="1"/>
      <c r="E330" s="1"/>
      <c r="F330" s="1"/>
      <c r="G330" s="46"/>
      <c r="H330" s="1"/>
      <c r="I330" s="1"/>
      <c r="J330" s="46"/>
      <c r="K330" s="46"/>
      <c r="L330" s="46"/>
      <c r="M330" s="1"/>
      <c r="N330" s="47"/>
      <c r="O330" s="46"/>
      <c r="P330" s="1"/>
      <c r="Q330" s="1"/>
      <c r="R330" s="46"/>
      <c r="S330" s="1"/>
      <c r="T330" s="1"/>
      <c r="U330" s="1"/>
      <c r="V330" s="43"/>
    </row>
    <row r="331" ht="15.75" customHeight="1">
      <c r="A331" s="1"/>
      <c r="B331" s="1"/>
      <c r="C331" s="46"/>
      <c r="D331" s="1"/>
      <c r="E331" s="1"/>
      <c r="F331" s="1"/>
      <c r="G331" s="46"/>
      <c r="H331" s="1"/>
      <c r="I331" s="1"/>
      <c r="J331" s="46"/>
      <c r="K331" s="46"/>
      <c r="L331" s="46"/>
      <c r="M331" s="1"/>
      <c r="N331" s="47"/>
      <c r="O331" s="46"/>
      <c r="P331" s="1"/>
      <c r="Q331" s="1"/>
      <c r="R331" s="46"/>
      <c r="S331" s="1"/>
      <c r="T331" s="1"/>
      <c r="U331" s="1"/>
      <c r="V331" s="43"/>
    </row>
    <row r="332" ht="15.75" customHeight="1">
      <c r="A332" s="1"/>
      <c r="B332" s="1"/>
      <c r="C332" s="46"/>
      <c r="D332" s="1"/>
      <c r="E332" s="1"/>
      <c r="F332" s="1"/>
      <c r="G332" s="46"/>
      <c r="H332" s="1"/>
      <c r="I332" s="1"/>
      <c r="J332" s="46"/>
      <c r="K332" s="46"/>
      <c r="L332" s="46"/>
      <c r="M332" s="1"/>
      <c r="N332" s="47"/>
      <c r="O332" s="46"/>
      <c r="P332" s="1"/>
      <c r="Q332" s="1"/>
      <c r="R332" s="46"/>
      <c r="S332" s="1"/>
      <c r="T332" s="1"/>
      <c r="U332" s="1"/>
      <c r="V332" s="43"/>
    </row>
    <row r="333" ht="15.75" customHeight="1">
      <c r="A333" s="1"/>
      <c r="B333" s="1"/>
      <c r="C333" s="46"/>
      <c r="D333" s="1"/>
      <c r="E333" s="1"/>
      <c r="F333" s="1"/>
      <c r="G333" s="46"/>
      <c r="H333" s="1"/>
      <c r="I333" s="1"/>
      <c r="J333" s="46"/>
      <c r="K333" s="46"/>
      <c r="L333" s="46"/>
      <c r="M333" s="1"/>
      <c r="N333" s="47"/>
      <c r="O333" s="46"/>
      <c r="P333" s="1"/>
      <c r="Q333" s="1"/>
      <c r="R333" s="46"/>
      <c r="S333" s="1"/>
      <c r="T333" s="1"/>
      <c r="U333" s="1"/>
      <c r="V333" s="43"/>
    </row>
    <row r="334" ht="15.75" customHeight="1">
      <c r="A334" s="1"/>
      <c r="B334" s="1"/>
      <c r="C334" s="46"/>
      <c r="D334" s="1"/>
      <c r="E334" s="1"/>
      <c r="F334" s="1"/>
      <c r="G334" s="46"/>
      <c r="H334" s="1"/>
      <c r="I334" s="1"/>
      <c r="J334" s="46"/>
      <c r="K334" s="46"/>
      <c r="L334" s="46"/>
      <c r="M334" s="1"/>
      <c r="N334" s="47"/>
      <c r="O334" s="46"/>
      <c r="P334" s="1"/>
      <c r="Q334" s="1"/>
      <c r="R334" s="46"/>
      <c r="S334" s="1"/>
      <c r="T334" s="1"/>
      <c r="U334" s="1"/>
      <c r="V334" s="43"/>
    </row>
    <row r="335" ht="15.75" customHeight="1">
      <c r="A335" s="1"/>
      <c r="B335" s="1"/>
      <c r="C335" s="46"/>
      <c r="D335" s="1"/>
      <c r="E335" s="1"/>
      <c r="F335" s="1"/>
      <c r="G335" s="46"/>
      <c r="H335" s="1"/>
      <c r="I335" s="1"/>
      <c r="J335" s="46"/>
      <c r="K335" s="46"/>
      <c r="L335" s="46"/>
      <c r="M335" s="1"/>
      <c r="N335" s="47"/>
      <c r="O335" s="46"/>
      <c r="P335" s="1"/>
      <c r="Q335" s="1"/>
      <c r="R335" s="46"/>
      <c r="S335" s="1"/>
      <c r="T335" s="1"/>
      <c r="U335" s="1"/>
      <c r="V335" s="43"/>
    </row>
    <row r="336" ht="15.75" customHeight="1">
      <c r="A336" s="1"/>
      <c r="B336" s="1"/>
      <c r="C336" s="46"/>
      <c r="D336" s="1"/>
      <c r="E336" s="1"/>
      <c r="F336" s="1"/>
      <c r="G336" s="46"/>
      <c r="H336" s="1"/>
      <c r="I336" s="1"/>
      <c r="J336" s="46"/>
      <c r="K336" s="46"/>
      <c r="L336" s="46"/>
      <c r="M336" s="1"/>
      <c r="N336" s="47"/>
      <c r="O336" s="46"/>
      <c r="P336" s="1"/>
      <c r="Q336" s="1"/>
      <c r="R336" s="46"/>
      <c r="S336" s="1"/>
      <c r="T336" s="1"/>
      <c r="U336" s="1"/>
      <c r="V336" s="43"/>
    </row>
    <row r="337" ht="15.75" customHeight="1">
      <c r="A337" s="1"/>
      <c r="B337" s="1"/>
      <c r="C337" s="46"/>
      <c r="D337" s="1"/>
      <c r="E337" s="1"/>
      <c r="F337" s="1"/>
      <c r="G337" s="46"/>
      <c r="H337" s="1"/>
      <c r="I337" s="1"/>
      <c r="J337" s="46"/>
      <c r="K337" s="46"/>
      <c r="L337" s="46"/>
      <c r="M337" s="1"/>
      <c r="N337" s="47"/>
      <c r="O337" s="46"/>
      <c r="P337" s="1"/>
      <c r="Q337" s="1"/>
      <c r="R337" s="46"/>
      <c r="S337" s="1"/>
      <c r="T337" s="1"/>
      <c r="U337" s="1"/>
      <c r="V337" s="43"/>
    </row>
    <row r="338" ht="15.75" customHeight="1">
      <c r="A338" s="1"/>
      <c r="B338" s="1"/>
      <c r="C338" s="46"/>
      <c r="D338" s="1"/>
      <c r="E338" s="1"/>
      <c r="F338" s="1"/>
      <c r="G338" s="46"/>
      <c r="H338" s="1"/>
      <c r="I338" s="1"/>
      <c r="J338" s="46"/>
      <c r="K338" s="46"/>
      <c r="L338" s="46"/>
      <c r="M338" s="1"/>
      <c r="N338" s="47"/>
      <c r="O338" s="46"/>
      <c r="P338" s="1"/>
      <c r="Q338" s="1"/>
      <c r="R338" s="46"/>
      <c r="S338" s="1"/>
      <c r="T338" s="1"/>
      <c r="U338" s="1"/>
      <c r="V338" s="43"/>
    </row>
    <row r="339" ht="15.75" customHeight="1">
      <c r="A339" s="1"/>
      <c r="B339" s="1"/>
      <c r="C339" s="46"/>
      <c r="D339" s="1"/>
      <c r="E339" s="1"/>
      <c r="F339" s="1"/>
      <c r="G339" s="46"/>
      <c r="H339" s="1"/>
      <c r="I339" s="1"/>
      <c r="J339" s="46"/>
      <c r="K339" s="46"/>
      <c r="L339" s="46"/>
      <c r="M339" s="1"/>
      <c r="N339" s="47"/>
      <c r="O339" s="46"/>
      <c r="P339" s="1"/>
      <c r="Q339" s="1"/>
      <c r="R339" s="46"/>
      <c r="S339" s="1"/>
      <c r="T339" s="1"/>
      <c r="U339" s="1"/>
      <c r="V339" s="43"/>
    </row>
    <row r="340" ht="15.75" customHeight="1">
      <c r="A340" s="1"/>
      <c r="B340" s="1"/>
      <c r="C340" s="46"/>
      <c r="D340" s="1"/>
      <c r="E340" s="1"/>
      <c r="F340" s="1"/>
      <c r="G340" s="46"/>
      <c r="H340" s="1"/>
      <c r="I340" s="1"/>
      <c r="J340" s="46"/>
      <c r="K340" s="46"/>
      <c r="L340" s="46"/>
      <c r="M340" s="1"/>
      <c r="N340" s="47"/>
      <c r="O340" s="46"/>
      <c r="P340" s="1"/>
      <c r="Q340" s="1"/>
      <c r="R340" s="46"/>
      <c r="S340" s="1"/>
      <c r="T340" s="1"/>
      <c r="U340" s="1"/>
      <c r="V340" s="43"/>
    </row>
    <row r="341" ht="15.75" customHeight="1">
      <c r="A341" s="1"/>
      <c r="B341" s="1"/>
      <c r="C341" s="46"/>
      <c r="D341" s="1"/>
      <c r="E341" s="1"/>
      <c r="F341" s="1"/>
      <c r="G341" s="46"/>
      <c r="H341" s="1"/>
      <c r="I341" s="1"/>
      <c r="J341" s="46"/>
      <c r="K341" s="46"/>
      <c r="L341" s="46"/>
      <c r="M341" s="1"/>
      <c r="N341" s="47"/>
      <c r="O341" s="46"/>
      <c r="P341" s="1"/>
      <c r="Q341" s="1"/>
      <c r="R341" s="46"/>
      <c r="S341" s="1"/>
      <c r="T341" s="1"/>
      <c r="U341" s="1"/>
      <c r="V341" s="43"/>
    </row>
    <row r="342" ht="15.75" customHeight="1">
      <c r="A342" s="1"/>
      <c r="B342" s="1"/>
      <c r="C342" s="46"/>
      <c r="D342" s="1"/>
      <c r="E342" s="1"/>
      <c r="F342" s="1"/>
      <c r="G342" s="46"/>
      <c r="H342" s="1"/>
      <c r="I342" s="1"/>
      <c r="J342" s="46"/>
      <c r="K342" s="46"/>
      <c r="L342" s="46"/>
      <c r="M342" s="1"/>
      <c r="N342" s="47"/>
      <c r="O342" s="46"/>
      <c r="P342" s="1"/>
      <c r="Q342" s="1"/>
      <c r="R342" s="46"/>
      <c r="S342" s="1"/>
      <c r="T342" s="1"/>
      <c r="U342" s="1"/>
      <c r="V342" s="43"/>
    </row>
    <row r="343" ht="15.75" customHeight="1">
      <c r="A343" s="1"/>
      <c r="B343" s="1"/>
      <c r="C343" s="46"/>
      <c r="D343" s="1"/>
      <c r="E343" s="1"/>
      <c r="F343" s="1"/>
      <c r="G343" s="46"/>
      <c r="H343" s="1"/>
      <c r="I343" s="1"/>
      <c r="J343" s="46"/>
      <c r="K343" s="46"/>
      <c r="L343" s="46"/>
      <c r="M343" s="1"/>
      <c r="N343" s="47"/>
      <c r="O343" s="46"/>
      <c r="P343" s="1"/>
      <c r="Q343" s="1"/>
      <c r="R343" s="46"/>
      <c r="S343" s="1"/>
      <c r="T343" s="1"/>
      <c r="U343" s="1"/>
      <c r="V343" s="43"/>
    </row>
    <row r="344" ht="15.75" customHeight="1">
      <c r="A344" s="1"/>
      <c r="B344" s="1"/>
      <c r="C344" s="46"/>
      <c r="D344" s="1"/>
      <c r="E344" s="1"/>
      <c r="F344" s="1"/>
      <c r="G344" s="46"/>
      <c r="H344" s="1"/>
      <c r="I344" s="1"/>
      <c r="J344" s="46"/>
      <c r="K344" s="46"/>
      <c r="L344" s="46"/>
      <c r="M344" s="1"/>
      <c r="N344" s="47"/>
      <c r="O344" s="46"/>
      <c r="P344" s="1"/>
      <c r="Q344" s="1"/>
      <c r="R344" s="46"/>
      <c r="S344" s="1"/>
      <c r="T344" s="1"/>
      <c r="U344" s="1"/>
      <c r="V344" s="43"/>
    </row>
    <row r="345" ht="15.75" customHeight="1">
      <c r="A345" s="1"/>
      <c r="B345" s="1"/>
      <c r="C345" s="46"/>
      <c r="D345" s="1"/>
      <c r="E345" s="1"/>
      <c r="F345" s="1"/>
      <c r="G345" s="46"/>
      <c r="H345" s="1"/>
      <c r="I345" s="1"/>
      <c r="J345" s="46"/>
      <c r="K345" s="46"/>
      <c r="L345" s="46"/>
      <c r="M345" s="1"/>
      <c r="N345" s="47"/>
      <c r="O345" s="46"/>
      <c r="P345" s="1"/>
      <c r="Q345" s="1"/>
      <c r="R345" s="46"/>
      <c r="S345" s="1"/>
      <c r="T345" s="1"/>
      <c r="U345" s="1"/>
      <c r="V345" s="43"/>
    </row>
    <row r="346" ht="15.75" customHeight="1">
      <c r="A346" s="1"/>
      <c r="B346" s="1"/>
      <c r="C346" s="46"/>
      <c r="D346" s="1"/>
      <c r="E346" s="1"/>
      <c r="F346" s="1"/>
      <c r="G346" s="46"/>
      <c r="H346" s="1"/>
      <c r="I346" s="1"/>
      <c r="J346" s="46"/>
      <c r="K346" s="46"/>
      <c r="L346" s="46"/>
      <c r="M346" s="1"/>
      <c r="N346" s="47"/>
      <c r="O346" s="46"/>
      <c r="P346" s="1"/>
      <c r="Q346" s="1"/>
      <c r="R346" s="46"/>
      <c r="S346" s="1"/>
      <c r="T346" s="1"/>
      <c r="U346" s="1"/>
      <c r="V346" s="43"/>
    </row>
    <row r="347" ht="15.75" customHeight="1">
      <c r="A347" s="1"/>
      <c r="B347" s="1"/>
      <c r="C347" s="46"/>
      <c r="D347" s="1"/>
      <c r="E347" s="1"/>
      <c r="F347" s="1"/>
      <c r="G347" s="46"/>
      <c r="H347" s="1"/>
      <c r="I347" s="1"/>
      <c r="J347" s="46"/>
      <c r="K347" s="46"/>
      <c r="L347" s="46"/>
      <c r="M347" s="1"/>
      <c r="N347" s="47"/>
      <c r="O347" s="46"/>
      <c r="P347" s="1"/>
      <c r="Q347" s="1"/>
      <c r="R347" s="46"/>
      <c r="S347" s="1"/>
      <c r="T347" s="1"/>
      <c r="U347" s="1"/>
      <c r="V347" s="43"/>
    </row>
    <row r="348" ht="15.75" customHeight="1">
      <c r="A348" s="1"/>
      <c r="B348" s="1"/>
      <c r="C348" s="46"/>
      <c r="D348" s="1"/>
      <c r="E348" s="1"/>
      <c r="F348" s="1"/>
      <c r="G348" s="46"/>
      <c r="H348" s="1"/>
      <c r="I348" s="1"/>
      <c r="J348" s="46"/>
      <c r="K348" s="46"/>
      <c r="L348" s="46"/>
      <c r="M348" s="1"/>
      <c r="N348" s="47"/>
      <c r="O348" s="46"/>
      <c r="P348" s="1"/>
      <c r="Q348" s="1"/>
      <c r="R348" s="46"/>
      <c r="S348" s="1"/>
      <c r="T348" s="1"/>
      <c r="U348" s="1"/>
      <c r="V348" s="43"/>
    </row>
    <row r="349" ht="15.75" customHeight="1">
      <c r="A349" s="1"/>
      <c r="B349" s="1"/>
      <c r="C349" s="46"/>
      <c r="D349" s="1"/>
      <c r="E349" s="1"/>
      <c r="F349" s="1"/>
      <c r="G349" s="46"/>
      <c r="H349" s="1"/>
      <c r="I349" s="1"/>
      <c r="J349" s="46"/>
      <c r="K349" s="46"/>
      <c r="L349" s="46"/>
      <c r="M349" s="1"/>
      <c r="N349" s="47"/>
      <c r="O349" s="46"/>
      <c r="P349" s="1"/>
      <c r="Q349" s="1"/>
      <c r="R349" s="46"/>
      <c r="S349" s="1"/>
      <c r="T349" s="1"/>
      <c r="U349" s="1"/>
      <c r="V349" s="43"/>
    </row>
    <row r="350" ht="15.75" customHeight="1">
      <c r="A350" s="1"/>
      <c r="B350" s="1"/>
      <c r="C350" s="46"/>
      <c r="D350" s="1"/>
      <c r="E350" s="1"/>
      <c r="F350" s="1"/>
      <c r="G350" s="46"/>
      <c r="H350" s="1"/>
      <c r="I350" s="1"/>
      <c r="J350" s="46"/>
      <c r="K350" s="46"/>
      <c r="L350" s="46"/>
      <c r="M350" s="1"/>
      <c r="N350" s="47"/>
      <c r="O350" s="46"/>
      <c r="P350" s="1"/>
      <c r="Q350" s="1"/>
      <c r="R350" s="46"/>
      <c r="S350" s="1"/>
      <c r="T350" s="1"/>
      <c r="U350" s="1"/>
      <c r="V350" s="43"/>
    </row>
    <row r="351" ht="15.75" customHeight="1">
      <c r="A351" s="1"/>
      <c r="B351" s="1"/>
      <c r="C351" s="46"/>
      <c r="D351" s="1"/>
      <c r="E351" s="1"/>
      <c r="F351" s="1"/>
      <c r="G351" s="46"/>
      <c r="H351" s="1"/>
      <c r="I351" s="1"/>
      <c r="J351" s="46"/>
      <c r="K351" s="46"/>
      <c r="L351" s="46"/>
      <c r="M351" s="1"/>
      <c r="N351" s="47"/>
      <c r="O351" s="46"/>
      <c r="P351" s="1"/>
      <c r="Q351" s="1"/>
      <c r="R351" s="46"/>
      <c r="S351" s="1"/>
      <c r="T351" s="1"/>
      <c r="U351" s="1"/>
      <c r="V351" s="43"/>
    </row>
    <row r="352" ht="15.75" customHeight="1">
      <c r="A352" s="1"/>
      <c r="B352" s="1"/>
      <c r="C352" s="46"/>
      <c r="D352" s="1"/>
      <c r="E352" s="1"/>
      <c r="F352" s="1"/>
      <c r="G352" s="46"/>
      <c r="H352" s="1"/>
      <c r="I352" s="1"/>
      <c r="J352" s="46"/>
      <c r="K352" s="46"/>
      <c r="L352" s="46"/>
      <c r="M352" s="1"/>
      <c r="N352" s="47"/>
      <c r="O352" s="46"/>
      <c r="P352" s="1"/>
      <c r="Q352" s="1"/>
      <c r="R352" s="46"/>
      <c r="S352" s="1"/>
      <c r="T352" s="1"/>
      <c r="U352" s="1"/>
      <c r="V352" s="43"/>
    </row>
    <row r="353" ht="15.75" customHeight="1">
      <c r="A353" s="1"/>
      <c r="B353" s="1"/>
      <c r="C353" s="46"/>
      <c r="D353" s="1"/>
      <c r="E353" s="1"/>
      <c r="F353" s="1"/>
      <c r="G353" s="46"/>
      <c r="H353" s="1"/>
      <c r="I353" s="1"/>
      <c r="J353" s="46"/>
      <c r="K353" s="46"/>
      <c r="L353" s="46"/>
      <c r="M353" s="1"/>
      <c r="N353" s="47"/>
      <c r="O353" s="46"/>
      <c r="P353" s="1"/>
      <c r="Q353" s="1"/>
      <c r="R353" s="46"/>
      <c r="S353" s="1"/>
      <c r="T353" s="1"/>
      <c r="U353" s="1"/>
      <c r="V353" s="43"/>
    </row>
    <row r="354" ht="15.75" customHeight="1">
      <c r="A354" s="1"/>
      <c r="B354" s="1"/>
      <c r="C354" s="46"/>
      <c r="D354" s="1"/>
      <c r="E354" s="1"/>
      <c r="F354" s="1"/>
      <c r="G354" s="46"/>
      <c r="H354" s="1"/>
      <c r="I354" s="1"/>
      <c r="J354" s="46"/>
      <c r="K354" s="46"/>
      <c r="L354" s="46"/>
      <c r="M354" s="1"/>
      <c r="N354" s="47"/>
      <c r="O354" s="46"/>
      <c r="P354" s="1"/>
      <c r="Q354" s="1"/>
      <c r="R354" s="46"/>
      <c r="S354" s="1"/>
      <c r="T354" s="1"/>
      <c r="U354" s="1"/>
      <c r="V354" s="43"/>
    </row>
    <row r="355" ht="15.75" customHeight="1">
      <c r="A355" s="1"/>
      <c r="B355" s="1"/>
      <c r="C355" s="46"/>
      <c r="D355" s="1"/>
      <c r="E355" s="1"/>
      <c r="F355" s="1"/>
      <c r="G355" s="46"/>
      <c r="H355" s="1"/>
      <c r="I355" s="1"/>
      <c r="J355" s="46"/>
      <c r="K355" s="46"/>
      <c r="L355" s="46"/>
      <c r="M355" s="1"/>
      <c r="N355" s="47"/>
      <c r="O355" s="46"/>
      <c r="P355" s="1"/>
      <c r="Q355" s="1"/>
      <c r="R355" s="46"/>
      <c r="S355" s="1"/>
      <c r="T355" s="1"/>
      <c r="U355" s="1"/>
      <c r="V355" s="43"/>
    </row>
    <row r="356" ht="15.75" customHeight="1">
      <c r="A356" s="1"/>
      <c r="B356" s="1"/>
      <c r="C356" s="46"/>
      <c r="D356" s="1"/>
      <c r="E356" s="1"/>
      <c r="F356" s="1"/>
      <c r="G356" s="46"/>
      <c r="H356" s="1"/>
      <c r="I356" s="1"/>
      <c r="J356" s="46"/>
      <c r="K356" s="46"/>
      <c r="L356" s="46"/>
      <c r="M356" s="1"/>
      <c r="N356" s="47"/>
      <c r="O356" s="46"/>
      <c r="P356" s="1"/>
      <c r="Q356" s="1"/>
      <c r="R356" s="46"/>
      <c r="S356" s="1"/>
      <c r="T356" s="1"/>
      <c r="U356" s="1"/>
      <c r="V356" s="43"/>
    </row>
    <row r="357" ht="15.75" customHeight="1">
      <c r="A357" s="1"/>
      <c r="B357" s="1"/>
      <c r="C357" s="46"/>
      <c r="D357" s="1"/>
      <c r="E357" s="1"/>
      <c r="F357" s="1"/>
      <c r="G357" s="46"/>
      <c r="H357" s="1"/>
      <c r="I357" s="1"/>
      <c r="J357" s="46"/>
      <c r="K357" s="46"/>
      <c r="L357" s="46"/>
      <c r="M357" s="1"/>
      <c r="N357" s="47"/>
      <c r="O357" s="46"/>
      <c r="P357" s="1"/>
      <c r="Q357" s="1"/>
      <c r="R357" s="46"/>
      <c r="S357" s="1"/>
      <c r="T357" s="1"/>
      <c r="U357" s="1"/>
      <c r="V357" s="43"/>
    </row>
    <row r="358" ht="15.75" customHeight="1">
      <c r="A358" s="1"/>
      <c r="B358" s="1"/>
      <c r="C358" s="46"/>
      <c r="D358" s="1"/>
      <c r="E358" s="1"/>
      <c r="F358" s="1"/>
      <c r="G358" s="46"/>
      <c r="H358" s="1"/>
      <c r="I358" s="1"/>
      <c r="J358" s="46"/>
      <c r="K358" s="46"/>
      <c r="L358" s="46"/>
      <c r="M358" s="1"/>
      <c r="N358" s="47"/>
      <c r="O358" s="46"/>
      <c r="P358" s="1"/>
      <c r="Q358" s="1"/>
      <c r="R358" s="46"/>
      <c r="S358" s="1"/>
      <c r="T358" s="1"/>
      <c r="U358" s="1"/>
      <c r="V358" s="43"/>
    </row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